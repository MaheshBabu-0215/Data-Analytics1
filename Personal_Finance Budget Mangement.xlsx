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raghu\Desktop\"/>
    </mc:Choice>
  </mc:AlternateContent>
  <xr:revisionPtr revIDLastSave="0" documentId="8_{05E61180-F773-4339-AACF-5A69FC36A8AD}" xr6:coauthVersionLast="47" xr6:coauthVersionMax="47" xr10:uidLastSave="{00000000-0000-0000-0000-000000000000}"/>
  <bookViews>
    <workbookView xWindow="-108" yWindow="-108" windowWidth="23256" windowHeight="13896" activeTab="4" xr2:uid="{D0E726CE-7BB1-4A42-AF27-2C4F02B7E7A8}"/>
  </bookViews>
  <sheets>
    <sheet name="Sheet3" sheetId="3" r:id="rId1"/>
    <sheet name="Sheet1" sheetId="1" r:id="rId2"/>
    <sheet name="Sheet5" sheetId="5" r:id="rId3"/>
    <sheet name="Sheet6" sheetId="6" r:id="rId4"/>
    <sheet name="Sheet2" sheetId="7" r:id="rId5"/>
    <sheet name="Sheet4" sheetId="4" r:id="rId6"/>
  </sheets>
  <definedNames>
    <definedName name="Slicer_Category">#N/A</definedName>
    <definedName name="Slicer_Discript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4" l="1"/>
  <c r="H31" i="4"/>
  <c r="H25" i="4"/>
  <c r="H21" i="4"/>
  <c r="H17" i="4"/>
  <c r="H13" i="4"/>
  <c r="H15" i="1"/>
  <c r="H29" i="1"/>
  <c r="H23" i="1"/>
  <c r="H19" i="1"/>
  <c r="H11" i="1"/>
  <c r="H6" i="1"/>
</calcChain>
</file>

<file path=xl/sharedStrings.xml><?xml version="1.0" encoding="utf-8"?>
<sst xmlns="http://schemas.openxmlformats.org/spreadsheetml/2006/main" count="436" uniqueCount="51">
  <si>
    <t>Date</t>
  </si>
  <si>
    <t>Month</t>
  </si>
  <si>
    <t>Category</t>
  </si>
  <si>
    <t>Discription</t>
  </si>
  <si>
    <t>Actual amount</t>
  </si>
  <si>
    <t>Column1</t>
  </si>
  <si>
    <t>Column2</t>
  </si>
  <si>
    <t>Column3</t>
  </si>
  <si>
    <t>Column4</t>
  </si>
  <si>
    <t>Column5</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</si>
  <si>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</si>
  <si>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</si>
  <si>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</si>
  <si>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</si>
  <si>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</si>
  <si>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</si>
  <si>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</si>
  <si>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</si>
  <si>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</si>
  <si>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</si>
  <si>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</si>
  <si>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</si>
  <si>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</si>
  <si>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</si>
  <si>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</si>
  <si>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</si>
  <si>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</si>
  <si>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</si>
  <si>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</si>
  <si>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</si>
  <si>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</si>
  <si>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</si>
  <si>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</si>
  <si>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</si>
  <si>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</si>
  <si>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</si>
  <si>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</si>
  <si>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</si>
  <si>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</si>
  <si>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</si>
  <si>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</si>
  <si>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</si>
  <si>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</si>
  <si>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</si>
  <si>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</si>
  <si>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</si>
  <si>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</si>
  <si>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</si>
  <si>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</si>
  <si>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Column Labels</t>
  </si>
  <si>
    <t>Sum of Actual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</si>
</sst>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entury Gothic"/>
      <family val="2"/>
      <scheme val="minor"/>
    </font>
    <font>
      <b/>
      <sz val="11"/>
      <color theme="1"/>
      <name val="Century Gothic"/>
      <family val="2"/>
      <scheme val="minor"/>
    </font>
    <font>
      <b/>
      <sz val="12"/>
      <color theme="1"/>
      <name val="Century Gothic"/>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xf numFmtId="0" fontId="1" fillId="2" borderId="0" xfId="0" applyFont="1" applyFill="1"/>
    <xf numFmtId="0" fontId="1" fillId="0" borderId="0" xfId="0" applyFont="1"/>
    <xf numFmtId="14" fontId="0" fillId="0" borderId="0" xfId="0" applyNumberFormat="1"/>
    <xf numFmtId="0" fontId="1" fillId="2" borderId="0" xfId="0" applyFont="1" applyFill="1" applyAlignment="1">
      <alignment vertical="center"/>
    </xf>
    <xf numFmtId="0" fontId="0" fillId="3" borderId="0" xfId="0" applyFill="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[mahesh4dw.xlsx]Sheet5!PivotTable7</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057968503937008"/>
          <c:w val="0.74629582592498522"/>
          <c:h val="0.72086981627296587"/>
        </c:manualLayout>
      </c:layout>
      <c:pie3DChart>
        <c:varyColors val="1"/>
        <c:ser>
          <c:idx val="0"/>
          <c:order val="0"/>
          <c:tx>
            <c:strRef>
              <c:f>Sheet5!$B$3</c:f>
              <c:strCache>
                <c:ptCount val="1"/>
                <c:pt idx="0">
                  <c:v>Total</c:v>
                </c:pt>
              </c:strCache>
            </c:strRef>
          </c:tx>
          <c:explosion val="4"/>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235-4180-AAE9-535B1285078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235-4180-AAE9-535B1285078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235-4180-AAE9-535B1285078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235-4180-AAE9-535B12850783}"/>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235-4180-AAE9-535B1285078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Sheet5!$A$4:$A$9</c:f>
              <c:strCache>
                <c:ptCount val="5"/>
                <c:pt idx="0">
                  <c:v>Entertainment</c:v>
                </c:pt>
                <c:pt idx="1">
                  <c:v>Food</c:v>
                </c:pt>
                <c:pt idx="2">
                  <c:v>Rent</c:v>
                </c:pt>
                <c:pt idx="3">
                  <c:v>Transport</c:v>
                </c:pt>
                <c:pt idx="4">
                  <c:v>Utilities</c:v>
                </c:pt>
              </c:strCache>
            </c:strRef>
          </c:cat>
          <c:val>
            <c:numRef>
              <c:f>Sheet5!$B$4:$B$9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0-DBA0-4613-8395-6C72A166FD32}"/>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[mahesh4dw.xlsx]Sheet5!PivotTable8</c:name>
    <c:fmtId val="1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76211163259765"/>
          <c:y val="0.39167284156698612"/>
          <c:w val="0.72382738256855828"/>
          <c:h val="0.33099609963439164"/>
        </c:manualLayout>
      </c:layout>
      <c:barChart>
        <c:barDir val="col"/>
        <c:grouping val="clustered"/>
        <c:varyColors val="0"/>
        <c:ser>
          <c:idx val="0"/>
          <c:order val="0"/>
          <c:tx>
            <c:strRef>
              <c:f>Sheet5!$E$3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Sheet5!$E$4:$E$16</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8971-48C9-BF5F-4EC050B5C12A}"/>
            </c:ext>
          </c:extLst>
        </c:ser>
        <c:dLbls>
          <c:showLegendKey val="0"/>
          <c:showVal val="0"/>
          <c:showCatName val="0"/>
          <c:showSerName val="0"/>
          <c:showPercent val="0"/>
          <c:showBubbleSize val="0"/>
        </c:dLbls>
        <c:gapWidth val="164"/>
        <c:overlap val="-22"/>
        <c:axId val="1596152288"/>
        <c:axId val="1596155648"/>
      </c:barChart>
      <c:catAx>
        <c:axId val="15961522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55648"/>
        <c:crosses val="autoZero"/>
        <c:auto val="1"/>
        <c:lblAlgn val="ctr"/>
        <c:lblOffset val="100"/>
        <c:noMultiLvlLbl val="0"/>
      </c:catAx>
      <c:valAx>
        <c:axId val="159615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5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[mahesh4dw.xlsx]Sheet5!PivotTable9</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Sheet5!$H$3:$H$4</c:f>
              <c:strCache>
                <c:ptCount val="1"/>
                <c:pt idx="0">
                  <c:v>Rent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8D-44D9-BC37-513699A651A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8D-44D9-BC37-513699A651A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48D-44D9-BC37-513699A651A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48D-44D9-BC37-513699A651A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48D-44D9-BC37-513699A651A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48D-44D9-BC37-513699A651A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48D-44D9-BC37-513699A651A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48D-44D9-BC37-513699A651A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48D-44D9-BC37-513699A651A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148D-44D9-BC37-513699A651A9}"/>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148D-44D9-BC37-513699A651A9}"/>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148D-44D9-BC37-513699A651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Sheet5!$H$5:$H$17</c:f>
              <c:numCache>
                <c:formatCode>General</c:formatCode>
                <c:ptCount val="12"/>
                <c:pt idx="0">
                  <c:v>12000</c:v>
                </c:pt>
                <c:pt idx="1">
                  <c:v>12000</c:v>
                </c:pt>
                <c:pt idx="2">
                  <c:v>12000</c:v>
                </c:pt>
                <c:pt idx="3">
                  <c:v>12000</c:v>
                </c:pt>
                <c:pt idx="4">
                  <c:v>12000</c:v>
                </c:pt>
                <c:pt idx="5">
                  <c:v>12000</c:v>
                </c:pt>
                <c:pt idx="6">
                  <c:v>12000</c:v>
                </c:pt>
                <c:pt idx="7">
                  <c:v>12000</c:v>
                </c:pt>
                <c:pt idx="8">
                  <c:v>12000</c:v>
                </c:pt>
                <c:pt idx="9">
                  <c:v>12000</c:v>
                </c:pt>
                <c:pt idx="10">
                  <c:v>12000</c:v>
                </c:pt>
                <c:pt idx="11">
                  <c:v>12000</c:v>
                </c:pt>
              </c:numCache>
            </c:numRef>
          </c:val>
          <c:extLst>
            <c:ext xmlns:c16="http://schemas.microsoft.com/office/drawing/2014/chart" uri="{C3380CC4-5D6E-409C-BE32-E72D297353CC}">
              <c16:uniqueId val="{00000000-2E67-4043-A4AB-D8DD6CC7F9B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[mahesh4dw.xlsx]Sheet5!PivotTable7</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057968503937008"/>
          <c:w val="0.74629582592498522"/>
          <c:h val="0.72086981627296587"/>
        </c:manualLayout>
      </c:layout>
      <c:pie3DChart>
        <c:varyColors val="1"/>
        <c:ser>
          <c:idx val="0"/>
          <c:order val="0"/>
          <c:tx>
            <c:strRef>
              <c:f>Sheet5!$B$3</c:f>
              <c:strCache>
                <c:ptCount val="1"/>
                <c:pt idx="0">
                  <c:v>Total</c:v>
                </c:pt>
              </c:strCache>
            </c:strRef>
          </c:tx>
          <c:explosion val="4"/>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E1A-4497-B000-25231F2CD15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E1A-4497-B000-25231F2CD15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E1A-4497-B000-25231F2CD15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E1A-4497-B000-25231F2CD15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E1A-4497-B000-25231F2CD1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Sheet5!$A$4:$A$9</c:f>
              <c:strCache>
                <c:ptCount val="5"/>
                <c:pt idx="0">
                  <c:v>Entertainment</c:v>
                </c:pt>
                <c:pt idx="1">
                  <c:v>Food</c:v>
                </c:pt>
                <c:pt idx="2">
                  <c:v>Rent</c:v>
                </c:pt>
                <c:pt idx="3">
                  <c:v>Transport</c:v>
                </c:pt>
                <c:pt idx="4">
                  <c:v>Utilities</c:v>
                </c:pt>
              </c:strCache>
            </c:strRef>
          </c:cat>
          <c:val>
            <c:numRef>
              <c:f>Sheet5!$B$4:$B$9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A-FE1A-4497-B000-25231F2CD155}"/>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[mahesh4dw.xlsx]Sheet5!PivotTable8</c:name>
    <c:fmtId val="1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76211163259765"/>
          <c:y val="0.39167284156698612"/>
          <c:w val="0.72382738256855828"/>
          <c:h val="0.33099609963439164"/>
        </c:manualLayout>
      </c:layout>
      <c:barChart>
        <c:barDir val="col"/>
        <c:grouping val="clustered"/>
        <c:varyColors val="0"/>
        <c:ser>
          <c:idx val="0"/>
          <c:order val="0"/>
          <c:tx>
            <c:strRef>
              <c:f>Sheet5!$E$3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Sheet5!$E$4:$E$16</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FB6C-4C48-9C37-D7686FB70920}"/>
            </c:ext>
          </c:extLst>
        </c:ser>
        <c:dLbls>
          <c:showLegendKey val="0"/>
          <c:showVal val="0"/>
          <c:showCatName val="0"/>
          <c:showSerName val="0"/>
          <c:showPercent val="0"/>
          <c:showBubbleSize val="0"/>
        </c:dLbls>
        <c:gapWidth val="164"/>
        <c:overlap val="-22"/>
        <c:axId val="1596152288"/>
        <c:axId val="1596155648"/>
      </c:barChart>
      <c:catAx>
        <c:axId val="15961522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55648"/>
        <c:crosses val="autoZero"/>
        <c:auto val="1"/>
        <c:lblAlgn val="ctr"/>
        <c:lblOffset val="100"/>
        <c:noMultiLvlLbl val="0"/>
      </c:catAx>
      <c:valAx>
        <c:axId val="159615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5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[mahesh4dw.xlsx]Sheet5!PivotTable9</c:name>
    <c:fmtId val="2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Sheet5!$H$3:$H$4</c:f>
              <c:strCache>
                <c:ptCount val="1"/>
                <c:pt idx="0">
                  <c:v>Rent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17-40D6-9B79-9887313C19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17-40D6-9B79-9887313C19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17-40D6-9B79-9887313C19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E17-40D6-9B79-9887313C191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E17-40D6-9B79-9887313C191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E17-40D6-9B79-9887313C191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E17-40D6-9B79-9887313C191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E17-40D6-9B79-9887313C191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E17-40D6-9B79-9887313C191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E17-40D6-9B79-9887313C1910}"/>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0E17-40D6-9B79-9887313C1910}"/>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0E17-40D6-9B79-9887313C19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Sheet5!$H$5:$H$17</c:f>
              <c:numCache>
                <c:formatCode>General</c:formatCode>
                <c:ptCount val="12"/>
                <c:pt idx="0">
                  <c:v>12000</c:v>
                </c:pt>
                <c:pt idx="1">
                  <c:v>12000</c:v>
                </c:pt>
                <c:pt idx="2">
                  <c:v>12000</c:v>
                </c:pt>
                <c:pt idx="3">
                  <c:v>12000</c:v>
                </c:pt>
                <c:pt idx="4">
                  <c:v>12000</c:v>
                </c:pt>
                <c:pt idx="5">
                  <c:v>12000</c:v>
                </c:pt>
                <c:pt idx="6">
                  <c:v>12000</c:v>
                </c:pt>
                <c:pt idx="7">
                  <c:v>12000</c:v>
                </c:pt>
                <c:pt idx="8">
                  <c:v>12000</c:v>
                </c:pt>
                <c:pt idx="9">
                  <c:v>12000</c:v>
                </c:pt>
                <c:pt idx="10">
                  <c:v>12000</c:v>
                </c:pt>
                <c:pt idx="11">
                  <c:v>12000</c:v>
                </c:pt>
              </c:numCache>
            </c:numRef>
          </c:val>
          <c:extLst>
            <c:ext xmlns:c16="http://schemas.microsoft.com/office/drawing/2014/chart" uri="{C3380CC4-5D6E-409C-BE32-E72D297353CC}">
              <c16:uniqueId val="{00000018-0E17-40D6-9B79-9887313C19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[mahesh4dw.xlsx]Sheet5!PivotTable7</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
          <c:y val="0.2057968503937008"/>
          <c:w val="0.74629582592498522"/>
          <c:h val="0.72086981627296587"/>
        </c:manualLayout>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95-4AC2-AEEC-5E732B46146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95-4AC2-AEEC-5E732B46146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95-4AC2-AEEC-5E732B46146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B95-4AC2-AEEC-5E732B46146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B95-4AC2-AEEC-5E732B4614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Sheet5!$A$4:$A$9</c:f>
              <c:strCache>
                <c:ptCount val="5"/>
                <c:pt idx="0">
                  <c:v>Entertainment</c:v>
                </c:pt>
                <c:pt idx="1">
                  <c:v>Food</c:v>
                </c:pt>
                <c:pt idx="2">
                  <c:v>Rent</c:v>
                </c:pt>
                <c:pt idx="3">
                  <c:v>Transport</c:v>
                </c:pt>
                <c:pt idx="4">
                  <c:v>Utilities</c:v>
                </c:pt>
              </c:strCache>
            </c:strRef>
          </c:cat>
          <c:val>
            <c:numRef>
              <c:f>Sheet5!$B$4:$B$9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A-9B95-4AC2-AEEC-5E732B4614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[mahesh4dw.xlsx]Sheet5!PivotTable8</c:name>
    <c:fmtId val="19"/>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76211163259765"/>
          <c:y val="0.39167284156698612"/>
          <c:w val="0.72382738256855828"/>
          <c:h val="0.33099609963439164"/>
        </c:manualLayout>
      </c:layout>
      <c:barChart>
        <c:barDir val="col"/>
        <c:grouping val="clustered"/>
        <c:varyColors val="0"/>
        <c:ser>
          <c:idx val="0"/>
          <c:order val="0"/>
          <c:tx>
            <c:strRef>
              <c:f>Sheet5!$E$3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Sheet5!$E$4:$E$16</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91D7-4C85-A21C-86AF00A01D32}"/>
            </c:ext>
          </c:extLst>
        </c:ser>
        <c:dLbls>
          <c:showLegendKey val="0"/>
          <c:showVal val="0"/>
          <c:showCatName val="0"/>
          <c:showSerName val="0"/>
          <c:showPercent val="0"/>
          <c:showBubbleSize val="0"/>
        </c:dLbls>
        <c:gapWidth val="164"/>
        <c:overlap val="-22"/>
        <c:axId val="1596152288"/>
        <c:axId val="1596155648"/>
      </c:barChart>
      <c:catAx>
        <c:axId val="15961522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55648"/>
        <c:crosses val="autoZero"/>
        <c:auto val="1"/>
        <c:lblAlgn val="ctr"/>
        <c:lblOffset val="100"/>
        <c:noMultiLvlLbl val="0"/>
      </c:catAx>
      <c:valAx>
        <c:axId val="159615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15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[mahesh4dw.xlsx]Sheet5!PivotTable9</c:name>
    <c:fmtId val="2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Sheet5!$H$3:$H$4</c:f>
              <c:strCache>
                <c:ptCount val="1"/>
                <c:pt idx="0">
                  <c:v>Rent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E8F-439B-86D7-4B843829C67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E8F-439B-86D7-4B843829C67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E8F-439B-86D7-4B843829C67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E8F-439B-86D7-4B843829C67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E8F-439B-86D7-4B843829C67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E8F-439B-86D7-4B843829C67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E8F-439B-86D7-4B843829C67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E8F-439B-86D7-4B843829C67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E8F-439B-86D7-4B843829C67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E8F-439B-86D7-4B843829C670}"/>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E8F-439B-86D7-4B843829C670}"/>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DE8F-439B-86D7-4B843829C6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Sheet5!$H$5:$H$17</c:f>
              <c:numCache>
                <c:formatCode>General</c:formatCode>
                <c:ptCount val="12"/>
                <c:pt idx="0">
                  <c:v>12000</c:v>
                </c:pt>
                <c:pt idx="1">
                  <c:v>12000</c:v>
                </c:pt>
                <c:pt idx="2">
                  <c:v>12000</c:v>
                </c:pt>
                <c:pt idx="3">
                  <c:v>12000</c:v>
                </c:pt>
                <c:pt idx="4">
                  <c:v>12000</c:v>
                </c:pt>
                <c:pt idx="5">
                  <c:v>12000</c:v>
                </c:pt>
                <c:pt idx="6">
                  <c:v>12000</c:v>
                </c:pt>
                <c:pt idx="7">
                  <c:v>12000</c:v>
                </c:pt>
                <c:pt idx="8">
                  <c:v>12000</c:v>
                </c:pt>
                <c:pt idx="9">
                  <c:v>12000</c:v>
                </c:pt>
                <c:pt idx="10">
                  <c:v>12000</c:v>
                </c:pt>
                <c:pt idx="11">
                  <c:v>12000</c:v>
                </c:pt>
              </c:numCache>
            </c:numRef>
          </c:val>
          <c:extLst>
            <c:ext xmlns:c16="http://schemas.microsoft.com/office/drawing/2014/chart" uri="{C3380CC4-5D6E-409C-BE32-E72D297353CC}">
              <c16:uniqueId val="{00000018-DE8F-439B-86D7-4B843829C67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11723</xdr:colOff>
      <xdr:row>21</xdr:row>
      <xdr:rowOff>35169</xdr:rowOff>
    </xdr:from>
    <xdr:to>
      <xdr:col>4</xdr:col>
      <xdr:colOff>325120</xdr:colOff>
      <xdr:row>34</xdr:row>
      <xdr:rowOff>12700</xdr:rowOff>
    </xdr:to>
    <xdr:graphicFrame macro="">
      <xdr:nvGraphicFramePr>
        <xdr:cNvPr id="2" name="Chart 1">
          <a:extLst>
            <a:ext uri="{FF2B5EF4-FFF2-40B4-BE49-F238E27FC236}">
              <a16:creationId xmlns:a16="http://schemas.microsoft.com/office/drawing/2014/main" id="{3D1E0BED-FFDF-4698-2550-C1FC140B1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579120</xdr:colOff>
      <xdr:row>20</xdr:row>
      <xdr:rowOff>137160</xdr:rowOff>
    </xdr:from>
    <xdr:to>
      <xdr:col>8</xdr:col>
      <xdr:colOff>386080</xdr:colOff>
      <xdr:row>34</xdr:row>
      <xdr:rowOff>104140</xdr:rowOff>
    </xdr:to>
    <xdr:graphicFrame macro="">
      <xdr:nvGraphicFramePr>
        <xdr:cNvPr id="4" name="Chart 3">
          <a:extLst>
            <a:ext uri="{FF2B5EF4-FFF2-40B4-BE49-F238E27FC236}">
              <a16:creationId xmlns:a16="http://schemas.microsoft.com/office/drawing/2014/main" id="{C8C6F3A8-686B-B440-38BB-DF80D1783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595937</xdr:colOff>
      <xdr:row>3</xdr:row>
      <xdr:rowOff>123321</xdr:rowOff>
    </xdr:from>
    <xdr:to>
      <xdr:col>17</xdr:col>
      <xdr:colOff>420091</xdr:colOff>
      <xdr:row>18</xdr:row>
      <xdr:rowOff>132551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A9C2377-9B3C-44C1-D1E3-2A223D530E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495968" y="686029"/>
              <a:ext cx="1828800" cy="2646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100637</xdr:colOff>
      <xdr:row>3</xdr:row>
      <xdr:rowOff>66350</xdr:rowOff>
    </xdr:from>
    <xdr:to>
      <xdr:col>13</xdr:col>
      <xdr:colOff>618271</xdr:colOff>
      <xdr:row>18</xdr:row>
      <xdr:rowOff>81711</xdr:rowOff>
    </xdr:to>
    <mc:AlternateContent xmlns:mc="http://schemas.openxmlformats.org/markup-compatibility/2006" xmlns:a14="http://schemas.microsoft.com/office/drawing/2010/main">
      <mc:Choice Requires="a14">
        <xdr:graphicFrame macro="">
          <xdr:nvGraphicFramePr>
            <xdr:cNvPr id="9" name="Discription">
              <a:extLst>
                <a:ext uri="{FF2B5EF4-FFF2-40B4-BE49-F238E27FC236}">
                  <a16:creationId xmlns:a16="http://schemas.microsoft.com/office/drawing/2014/main" id="{8D3EA74C-BEEB-8895-B09A-79C255FBBF33}"/>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13089806" y="629058"/>
              <a:ext cx="1818896" cy="2653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45983</xdr:colOff>
      <xdr:row>21</xdr:row>
      <xdr:rowOff>80141</xdr:rowOff>
    </xdr:from>
    <xdr:to>
      <xdr:col>14</xdr:col>
      <xdr:colOff>19707</xdr:colOff>
      <xdr:row>36</xdr:row>
      <xdr:rowOff>64376</xdr:rowOff>
    </xdr:to>
    <xdr:graphicFrame macro="">
      <xdr:nvGraphicFramePr>
        <xdr:cNvPr id="11" name="Chart 10">
          <a:extLst>
            <a:ext uri="{FF2B5EF4-FFF2-40B4-BE49-F238E27FC236}">
              <a16:creationId xmlns:a16="http://schemas.microsoft.com/office/drawing/2014/main" id="{58F4F100-42C2-D172-594B-2377D84D3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238941</xdr:colOff>
      <xdr:row>0</xdr:row>
      <xdr:rowOff>88175</xdr:rowOff>
    </xdr:from>
    <xdr:to>
      <xdr:col>16</xdr:col>
      <xdr:colOff>175259</xdr:colOff>
      <xdr:row>6</xdr:row>
      <xdr:rowOff>65315</xdr:rowOff>
    </xdr:to>
    <xdr:sp macro="" textlink="">
      <xdr:nvSpPr>
        <xdr:cNvPr id="2" name="Rectangle: Rounded Corners 1">
          <a:extLst>
            <a:ext uri="{FF2B5EF4-FFF2-40B4-BE49-F238E27FC236}">
              <a16:creationId xmlns:a16="http://schemas.microsoft.com/office/drawing/2014/main" id="{2DDF1593-16ED-8E73-A31B-89B428F1CEF4}"/>
            </a:ext>
          </a:extLst>
        </xdr:cNvPr>
        <xdr:cNvSpPr/>
      </xdr:nvSpPr>
      <xdr:spPr>
        <a:xfrm>
          <a:off x="238941" y="88175"/>
          <a:ext cx="10944497" cy="103849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426720</xdr:colOff>
      <xdr:row>2</xdr:row>
      <xdr:rowOff>76200</xdr:rowOff>
    </xdr:from>
    <xdr:to>
      <xdr:col>10</xdr:col>
      <xdr:colOff>320040</xdr:colOff>
      <xdr:row>4</xdr:row>
      <xdr:rowOff>106680</xdr:rowOff>
    </xdr:to>
    <xdr:sp macro="" textlink="">
      <xdr:nvSpPr>
        <xdr:cNvPr id="4" name="TextBox 3">
          <a:extLst>
            <a:ext uri="{FF2B5EF4-FFF2-40B4-BE49-F238E27FC236}">
              <a16:creationId xmlns:a16="http://schemas.microsoft.com/office/drawing/2014/main" id="{EF47A441-956B-F4DC-887B-CAA466892A1A}"/>
            </a:ext>
          </a:extLst>
        </xdr:cNvPr>
        <xdr:cNvSpPr txBox="1"/>
      </xdr:nvSpPr>
      <xdr:spPr>
        <a:xfrm>
          <a:off x="3474720" y="429986"/>
          <a:ext cx="4179570" cy="38426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   Personal Finance Analiysizer</a:t>
          </a:r>
        </a:p>
      </xdr:txBody>
    </xdr:sp>
    <xdr:clientData/>
  </xdr:twoCellAnchor>
  <xdr:twoCellAnchor>
    <xdr:from>
      <xdr:col>0</xdr:col>
      <xdr:colOff>0</xdr:colOff>
      <xdr:row>8</xdr:row>
      <xdr:rowOff>15240</xdr:rowOff>
    </xdr:from>
    <xdr:to>
      <xdr:col>1</xdr:col>
      <xdr:colOff>594360</xdr:colOff>
      <xdr:row>13</xdr:row>
      <xdr:rowOff>60960</xdr:rowOff>
    </xdr:to>
    <xdr:sp macro="" textlink="">
      <xdr:nvSpPr>
        <xdr:cNvPr id="14" name="Rectangle: Rounded Corners 13">
          <a:extLst>
            <a:ext uri="{FF2B5EF4-FFF2-40B4-BE49-F238E27FC236}">
              <a16:creationId xmlns:a16="http://schemas.microsoft.com/office/drawing/2014/main" id="{2B5B877B-D57E-5431-7B42-8B0C311B17A4}"/>
            </a:ext>
          </a:extLst>
        </xdr:cNvPr>
        <xdr:cNvSpPr/>
      </xdr:nvSpPr>
      <xdr:spPr>
        <a:xfrm>
          <a:off x="0" y="1430383"/>
          <a:ext cx="2417717" cy="93018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53340</xdr:colOff>
      <xdr:row>8</xdr:row>
      <xdr:rowOff>60960</xdr:rowOff>
    </xdr:from>
    <xdr:to>
      <xdr:col>0</xdr:col>
      <xdr:colOff>830580</xdr:colOff>
      <xdr:row>13</xdr:row>
      <xdr:rowOff>22860</xdr:rowOff>
    </xdr:to>
    <xdr:sp macro="" textlink="">
      <xdr:nvSpPr>
        <xdr:cNvPr id="15" name="Rectangle: Rounded Corners 14">
          <a:extLst>
            <a:ext uri="{FF2B5EF4-FFF2-40B4-BE49-F238E27FC236}">
              <a16:creationId xmlns:a16="http://schemas.microsoft.com/office/drawing/2014/main" id="{61C55698-1F37-AB3B-43E9-EC7F5D367BF1}"/>
            </a:ext>
          </a:extLst>
        </xdr:cNvPr>
        <xdr:cNvSpPr/>
      </xdr:nvSpPr>
      <xdr:spPr>
        <a:xfrm>
          <a:off x="53340" y="1476103"/>
          <a:ext cx="777240" cy="8463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1028700</xdr:colOff>
      <xdr:row>8</xdr:row>
      <xdr:rowOff>121920</xdr:rowOff>
    </xdr:from>
    <xdr:to>
      <xdr:col>1</xdr:col>
      <xdr:colOff>426720</xdr:colOff>
      <xdr:row>10</xdr:row>
      <xdr:rowOff>83820</xdr:rowOff>
    </xdr:to>
    <xdr:sp macro="" textlink="">
      <xdr:nvSpPr>
        <xdr:cNvPr id="16" name="Rectangle 15">
          <a:extLst>
            <a:ext uri="{FF2B5EF4-FFF2-40B4-BE49-F238E27FC236}">
              <a16:creationId xmlns:a16="http://schemas.microsoft.com/office/drawing/2014/main" id="{5D7B7C3E-7B2B-47D5-0EFC-81CB1F152AE0}"/>
            </a:ext>
          </a:extLst>
        </xdr:cNvPr>
        <xdr:cNvSpPr/>
      </xdr:nvSpPr>
      <xdr:spPr>
        <a:xfrm>
          <a:off x="1028700" y="1537063"/>
          <a:ext cx="1221377" cy="31568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Total</a:t>
          </a:r>
          <a:r>
            <a:rPr lang="en-IN" sz="1100" b="1" baseline="0"/>
            <a:t> expences</a:t>
          </a:r>
          <a:endParaRPr lang="en-IN" sz="1100" b="1"/>
        </a:p>
      </xdr:txBody>
    </xdr:sp>
    <xdr:clientData/>
  </xdr:twoCellAnchor>
  <xdr:twoCellAnchor>
    <xdr:from>
      <xdr:col>2</xdr:col>
      <xdr:colOff>281940</xdr:colOff>
      <xdr:row>8</xdr:row>
      <xdr:rowOff>7620</xdr:rowOff>
    </xdr:from>
    <xdr:to>
      <xdr:col>6</xdr:col>
      <xdr:colOff>266700</xdr:colOff>
      <xdr:row>13</xdr:row>
      <xdr:rowOff>15240</xdr:rowOff>
    </xdr:to>
    <xdr:sp macro="" textlink="">
      <xdr:nvSpPr>
        <xdr:cNvPr id="18" name="Rectangle: Rounded Corners 17">
          <a:extLst>
            <a:ext uri="{FF2B5EF4-FFF2-40B4-BE49-F238E27FC236}">
              <a16:creationId xmlns:a16="http://schemas.microsoft.com/office/drawing/2014/main" id="{22F2F974-46E0-1C11-B33D-1F91AB62F20C}"/>
            </a:ext>
          </a:extLst>
        </xdr:cNvPr>
        <xdr:cNvSpPr/>
      </xdr:nvSpPr>
      <xdr:spPr>
        <a:xfrm>
          <a:off x="2717619" y="1422763"/>
          <a:ext cx="2434045" cy="89208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335280</xdr:colOff>
      <xdr:row>8</xdr:row>
      <xdr:rowOff>30480</xdr:rowOff>
    </xdr:from>
    <xdr:to>
      <xdr:col>3</xdr:col>
      <xdr:colOff>502920</xdr:colOff>
      <xdr:row>12</xdr:row>
      <xdr:rowOff>175260</xdr:rowOff>
    </xdr:to>
    <xdr:sp macro="" textlink="">
      <xdr:nvSpPr>
        <xdr:cNvPr id="19" name="Rectangle: Rounded Corners 18">
          <a:extLst>
            <a:ext uri="{FF2B5EF4-FFF2-40B4-BE49-F238E27FC236}">
              <a16:creationId xmlns:a16="http://schemas.microsoft.com/office/drawing/2014/main" id="{31A899D3-6F02-26CF-8025-4195B14CB742}"/>
            </a:ext>
          </a:extLst>
        </xdr:cNvPr>
        <xdr:cNvSpPr/>
      </xdr:nvSpPr>
      <xdr:spPr>
        <a:xfrm>
          <a:off x="2770959" y="1445623"/>
          <a:ext cx="779961" cy="8523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22860</xdr:colOff>
      <xdr:row>8</xdr:row>
      <xdr:rowOff>106680</xdr:rowOff>
    </xdr:from>
    <xdr:to>
      <xdr:col>6</xdr:col>
      <xdr:colOff>76200</xdr:colOff>
      <xdr:row>10</xdr:row>
      <xdr:rowOff>83820</xdr:rowOff>
    </xdr:to>
    <xdr:sp macro="" textlink="">
      <xdr:nvSpPr>
        <xdr:cNvPr id="20" name="Rectangle 19">
          <a:extLst>
            <a:ext uri="{FF2B5EF4-FFF2-40B4-BE49-F238E27FC236}">
              <a16:creationId xmlns:a16="http://schemas.microsoft.com/office/drawing/2014/main" id="{F549D773-57F9-A9EA-E108-2E192554328C}"/>
            </a:ext>
          </a:extLst>
        </xdr:cNvPr>
        <xdr:cNvSpPr/>
      </xdr:nvSpPr>
      <xdr:spPr>
        <a:xfrm>
          <a:off x="3683181" y="1521823"/>
          <a:ext cx="1277983" cy="33092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Average</a:t>
          </a:r>
        </a:p>
      </xdr:txBody>
    </xdr:sp>
    <xdr:clientData/>
  </xdr:twoCellAnchor>
  <xdr:twoCellAnchor>
    <xdr:from>
      <xdr:col>0</xdr:col>
      <xdr:colOff>1013460</xdr:colOff>
      <xdr:row>11</xdr:row>
      <xdr:rowOff>7620</xdr:rowOff>
    </xdr:from>
    <xdr:to>
      <xdr:col>1</xdr:col>
      <xdr:colOff>419100</xdr:colOff>
      <xdr:row>12</xdr:row>
      <xdr:rowOff>160020</xdr:rowOff>
    </xdr:to>
    <xdr:sp macro="" textlink="Sheet4!H8">
      <xdr:nvSpPr>
        <xdr:cNvPr id="21" name="Rectangle 20">
          <a:extLst>
            <a:ext uri="{FF2B5EF4-FFF2-40B4-BE49-F238E27FC236}">
              <a16:creationId xmlns:a16="http://schemas.microsoft.com/office/drawing/2014/main" id="{55EA0857-2ABE-EFEF-3253-D1574E2367C2}"/>
            </a:ext>
          </a:extLst>
        </xdr:cNvPr>
        <xdr:cNvSpPr/>
      </xdr:nvSpPr>
      <xdr:spPr>
        <a:xfrm>
          <a:off x="1013460" y="1953441"/>
          <a:ext cx="1228997" cy="32929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686578C-BE76-4E5C-9EEB-7750C00C8782}" type="TxLink">
            <a:rPr lang="en-US" sz="1100" b="0" i="0" u="none" strike="noStrike">
              <a:solidFill>
                <a:srgbClr val="000000"/>
              </a:solidFill>
              <a:latin typeface="Aptos Narrow"/>
            </a:rPr>
            <a:pPr algn="l"/>
            <a:t>295000</a:t>
          </a:fld>
          <a:endParaRPr lang="en-IN" sz="1100"/>
        </a:p>
      </xdr:txBody>
    </xdr:sp>
    <xdr:clientData/>
  </xdr:twoCellAnchor>
  <xdr:twoCellAnchor>
    <xdr:from>
      <xdr:col>4</xdr:col>
      <xdr:colOff>7620</xdr:colOff>
      <xdr:row>10</xdr:row>
      <xdr:rowOff>144780</xdr:rowOff>
    </xdr:from>
    <xdr:to>
      <xdr:col>6</xdr:col>
      <xdr:colOff>53340</xdr:colOff>
      <xdr:row>12</xdr:row>
      <xdr:rowOff>129540</xdr:rowOff>
    </xdr:to>
    <xdr:sp macro="" textlink="Sheet4!H17">
      <xdr:nvSpPr>
        <xdr:cNvPr id="24" name="Rectangle 23">
          <a:extLst>
            <a:ext uri="{FF2B5EF4-FFF2-40B4-BE49-F238E27FC236}">
              <a16:creationId xmlns:a16="http://schemas.microsoft.com/office/drawing/2014/main" id="{175F74C2-757F-4C0D-A90F-266A02194688}"/>
            </a:ext>
          </a:extLst>
        </xdr:cNvPr>
        <xdr:cNvSpPr/>
      </xdr:nvSpPr>
      <xdr:spPr>
        <a:xfrm>
          <a:off x="3667941" y="1913709"/>
          <a:ext cx="1270363" cy="3385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0D03060-DEA8-4002-BD59-041408BBD139}" type="TxLink">
            <a:rPr lang="en-US" sz="1100" b="0" i="0" u="none" strike="noStrike">
              <a:solidFill>
                <a:srgbClr val="000000"/>
              </a:solidFill>
              <a:latin typeface="Aptos Narrow"/>
            </a:rPr>
            <a:pPr algn="l"/>
            <a:t>4842.105263</a:t>
          </a:fld>
          <a:endParaRPr lang="en-IN" sz="1100"/>
        </a:p>
      </xdr:txBody>
    </xdr:sp>
    <xdr:clientData/>
  </xdr:twoCellAnchor>
  <xdr:twoCellAnchor>
    <xdr:from>
      <xdr:col>8</xdr:col>
      <xdr:colOff>0</xdr:colOff>
      <xdr:row>8</xdr:row>
      <xdr:rowOff>15240</xdr:rowOff>
    </xdr:from>
    <xdr:to>
      <xdr:col>11</xdr:col>
      <xdr:colOff>594360</xdr:colOff>
      <xdr:row>13</xdr:row>
      <xdr:rowOff>60960</xdr:rowOff>
    </xdr:to>
    <xdr:sp macro="" textlink="">
      <xdr:nvSpPr>
        <xdr:cNvPr id="25" name="Rectangle: Rounded Corners 24">
          <a:extLst>
            <a:ext uri="{FF2B5EF4-FFF2-40B4-BE49-F238E27FC236}">
              <a16:creationId xmlns:a16="http://schemas.microsoft.com/office/drawing/2014/main" id="{49B14775-0AAE-428A-9645-3D7DF6E3BEF1}"/>
            </a:ext>
          </a:extLst>
        </xdr:cNvPr>
        <xdr:cNvSpPr/>
      </xdr:nvSpPr>
      <xdr:spPr>
        <a:xfrm>
          <a:off x="6109607" y="1430383"/>
          <a:ext cx="2431324" cy="93018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45720</xdr:colOff>
      <xdr:row>8</xdr:row>
      <xdr:rowOff>45720</xdr:rowOff>
    </xdr:from>
    <xdr:to>
      <xdr:col>9</xdr:col>
      <xdr:colOff>213360</xdr:colOff>
      <xdr:row>13</xdr:row>
      <xdr:rowOff>7620</xdr:rowOff>
    </xdr:to>
    <xdr:sp macro="" textlink="">
      <xdr:nvSpPr>
        <xdr:cNvPr id="26" name="Rectangle: Rounded Corners 25">
          <a:extLst>
            <a:ext uri="{FF2B5EF4-FFF2-40B4-BE49-F238E27FC236}">
              <a16:creationId xmlns:a16="http://schemas.microsoft.com/office/drawing/2014/main" id="{0EC030AC-1CAC-4433-8DAD-7107B3CE4D28}"/>
            </a:ext>
          </a:extLst>
        </xdr:cNvPr>
        <xdr:cNvSpPr/>
      </xdr:nvSpPr>
      <xdr:spPr>
        <a:xfrm>
          <a:off x="6155327" y="1460863"/>
          <a:ext cx="779962" cy="8463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411480</xdr:colOff>
      <xdr:row>8</xdr:row>
      <xdr:rowOff>60960</xdr:rowOff>
    </xdr:from>
    <xdr:to>
      <xdr:col>11</xdr:col>
      <xdr:colOff>419100</xdr:colOff>
      <xdr:row>10</xdr:row>
      <xdr:rowOff>144780</xdr:rowOff>
    </xdr:to>
    <xdr:sp macro="" textlink="">
      <xdr:nvSpPr>
        <xdr:cNvPr id="27" name="Rectangle 26">
          <a:extLst>
            <a:ext uri="{FF2B5EF4-FFF2-40B4-BE49-F238E27FC236}">
              <a16:creationId xmlns:a16="http://schemas.microsoft.com/office/drawing/2014/main" id="{9AB771E1-74D5-44CD-BBCF-0873F35138B5}"/>
            </a:ext>
          </a:extLst>
        </xdr:cNvPr>
        <xdr:cNvSpPr/>
      </xdr:nvSpPr>
      <xdr:spPr>
        <a:xfrm>
          <a:off x="7133409" y="1476103"/>
          <a:ext cx="1232262" cy="4376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Total</a:t>
          </a:r>
          <a:r>
            <a:rPr lang="en-IN" sz="1100" b="1" baseline="0"/>
            <a:t> expences by category</a:t>
          </a:r>
          <a:endParaRPr lang="en-IN" sz="1100" b="1"/>
        </a:p>
      </xdr:txBody>
    </xdr:sp>
    <xdr:clientData/>
  </xdr:twoCellAnchor>
  <xdr:twoCellAnchor>
    <xdr:from>
      <xdr:col>9</xdr:col>
      <xdr:colOff>388620</xdr:colOff>
      <xdr:row>10</xdr:row>
      <xdr:rowOff>175260</xdr:rowOff>
    </xdr:from>
    <xdr:to>
      <xdr:col>11</xdr:col>
      <xdr:colOff>403860</xdr:colOff>
      <xdr:row>12</xdr:row>
      <xdr:rowOff>144780</xdr:rowOff>
    </xdr:to>
    <xdr:sp macro="" textlink="Sheet4!H13">
      <xdr:nvSpPr>
        <xdr:cNvPr id="28" name="Rectangle 27">
          <a:extLst>
            <a:ext uri="{FF2B5EF4-FFF2-40B4-BE49-F238E27FC236}">
              <a16:creationId xmlns:a16="http://schemas.microsoft.com/office/drawing/2014/main" id="{5A9E6EA9-059D-4055-9F2D-0DC11831EFAD}"/>
            </a:ext>
          </a:extLst>
        </xdr:cNvPr>
        <xdr:cNvSpPr/>
      </xdr:nvSpPr>
      <xdr:spPr>
        <a:xfrm>
          <a:off x="7110549" y="1944189"/>
          <a:ext cx="1239882" cy="32330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19023B6-94AA-49F5-9FB7-936B4561EFA2}" type="TxLink">
            <a:rPr lang="en-US" sz="1100" b="0" i="0" u="none" strike="noStrike">
              <a:solidFill>
                <a:srgbClr val="000000"/>
              </a:solidFill>
              <a:latin typeface="Aptos Narrow"/>
            </a:rPr>
            <a:pPr algn="l"/>
            <a:t>55800</a:t>
          </a:fld>
          <a:endParaRPr lang="en-IN" sz="1100"/>
        </a:p>
      </xdr:txBody>
    </xdr:sp>
    <xdr:clientData/>
  </xdr:twoCellAnchor>
  <xdr:twoCellAnchor>
    <xdr:from>
      <xdr:col>12</xdr:col>
      <xdr:colOff>464820</xdr:colOff>
      <xdr:row>8</xdr:row>
      <xdr:rowOff>7620</xdr:rowOff>
    </xdr:from>
    <xdr:to>
      <xdr:col>16</xdr:col>
      <xdr:colOff>449580</xdr:colOff>
      <xdr:row>13</xdr:row>
      <xdr:rowOff>53340</xdr:rowOff>
    </xdr:to>
    <xdr:sp macro="" textlink="">
      <xdr:nvSpPr>
        <xdr:cNvPr id="29" name="Rectangle: Rounded Corners 28">
          <a:extLst>
            <a:ext uri="{FF2B5EF4-FFF2-40B4-BE49-F238E27FC236}">
              <a16:creationId xmlns:a16="http://schemas.microsoft.com/office/drawing/2014/main" id="{F2EA737F-0766-0C6B-69EE-27B73D10B087}"/>
            </a:ext>
          </a:extLst>
        </xdr:cNvPr>
        <xdr:cNvSpPr/>
      </xdr:nvSpPr>
      <xdr:spPr>
        <a:xfrm>
          <a:off x="9023713" y="1422763"/>
          <a:ext cx="2434046" cy="93018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510540</xdr:colOff>
      <xdr:row>8</xdr:row>
      <xdr:rowOff>45720</xdr:rowOff>
    </xdr:from>
    <xdr:to>
      <xdr:col>16</xdr:col>
      <xdr:colOff>251460</xdr:colOff>
      <xdr:row>13</xdr:row>
      <xdr:rowOff>7620</xdr:rowOff>
    </xdr:to>
    <xdr:grpSp>
      <xdr:nvGrpSpPr>
        <xdr:cNvPr id="32" name="Group 31">
          <a:extLst>
            <a:ext uri="{FF2B5EF4-FFF2-40B4-BE49-F238E27FC236}">
              <a16:creationId xmlns:a16="http://schemas.microsoft.com/office/drawing/2014/main" id="{B8F73328-CAD0-128C-F730-8E720CC5EFA6}"/>
            </a:ext>
          </a:extLst>
        </xdr:cNvPr>
        <xdr:cNvGrpSpPr/>
      </xdr:nvGrpSpPr>
      <xdr:grpSpPr>
        <a:xfrm>
          <a:off x="9069433" y="1460863"/>
          <a:ext cx="2190206" cy="846364"/>
          <a:chOff x="6164580" y="1516380"/>
          <a:chExt cx="2179320" cy="876300"/>
        </a:xfrm>
      </xdr:grpSpPr>
      <xdr:sp macro="" textlink="">
        <xdr:nvSpPr>
          <xdr:cNvPr id="30" name="Rectangle: Rounded Corners 29">
            <a:extLst>
              <a:ext uri="{FF2B5EF4-FFF2-40B4-BE49-F238E27FC236}">
                <a16:creationId xmlns:a16="http://schemas.microsoft.com/office/drawing/2014/main" id="{17A8F234-C0BD-FBE2-8D40-8C7CCE3DD7E4}"/>
              </a:ext>
            </a:extLst>
          </xdr:cNvPr>
          <xdr:cNvSpPr/>
        </xdr:nvSpPr>
        <xdr:spPr>
          <a:xfrm>
            <a:off x="6164580" y="1516380"/>
            <a:ext cx="77724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30">
            <a:extLst>
              <a:ext uri="{FF2B5EF4-FFF2-40B4-BE49-F238E27FC236}">
                <a16:creationId xmlns:a16="http://schemas.microsoft.com/office/drawing/2014/main" id="{67143BA8-BE52-86E8-E096-88EF135C570F}"/>
              </a:ext>
            </a:extLst>
          </xdr:cNvPr>
          <xdr:cNvSpPr/>
        </xdr:nvSpPr>
        <xdr:spPr>
          <a:xfrm>
            <a:off x="7117080" y="1600200"/>
            <a:ext cx="1226820" cy="4114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Total</a:t>
            </a:r>
            <a:r>
              <a:rPr lang="en-IN" sz="1100" b="1" baseline="0"/>
              <a:t> expences by month</a:t>
            </a:r>
            <a:endParaRPr lang="en-IN" sz="1100" b="1"/>
          </a:p>
        </xdr:txBody>
      </xdr:sp>
    </xdr:grpSp>
    <xdr:clientData/>
  </xdr:twoCellAnchor>
  <xdr:twoCellAnchor>
    <xdr:from>
      <xdr:col>14</xdr:col>
      <xdr:colOff>289560</xdr:colOff>
      <xdr:row>11</xdr:row>
      <xdr:rowOff>22860</xdr:rowOff>
    </xdr:from>
    <xdr:to>
      <xdr:col>16</xdr:col>
      <xdr:colOff>251460</xdr:colOff>
      <xdr:row>12</xdr:row>
      <xdr:rowOff>137160</xdr:rowOff>
    </xdr:to>
    <xdr:sp macro="" textlink="Sheet4!H21">
      <xdr:nvSpPr>
        <xdr:cNvPr id="33" name="Rectangle 32">
          <a:extLst>
            <a:ext uri="{FF2B5EF4-FFF2-40B4-BE49-F238E27FC236}">
              <a16:creationId xmlns:a16="http://schemas.microsoft.com/office/drawing/2014/main" id="{2D735316-B447-A22B-E686-C161B04C7B07}"/>
            </a:ext>
          </a:extLst>
        </xdr:cNvPr>
        <xdr:cNvSpPr/>
      </xdr:nvSpPr>
      <xdr:spPr>
        <a:xfrm>
          <a:off x="10073096" y="1968681"/>
          <a:ext cx="1186543" cy="29119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5116A80-6FB4-489A-9DB4-53776B96DD7E}" type="TxLink">
            <a:rPr lang="en-US" sz="1100" b="0" i="0" u="none" strike="noStrike">
              <a:solidFill>
                <a:srgbClr val="000000"/>
              </a:solidFill>
              <a:latin typeface="Aptos Narrow"/>
            </a:rPr>
            <a:pPr algn="l"/>
            <a:t>23900</a:t>
          </a:fld>
          <a:endParaRPr lang="en-IN" sz="1100"/>
        </a:p>
      </xdr:txBody>
    </xdr:sp>
    <xdr:clientData/>
  </xdr:twoCellAnchor>
  <xdr:twoCellAnchor>
    <xdr:from>
      <xdr:col>1</xdr:col>
      <xdr:colOff>0</xdr:colOff>
      <xdr:row>17</xdr:row>
      <xdr:rowOff>0</xdr:rowOff>
    </xdr:from>
    <xdr:to>
      <xdr:col>7</xdr:col>
      <xdr:colOff>43766</xdr:colOff>
      <xdr:row>30</xdr:row>
      <xdr:rowOff>38491</xdr:rowOff>
    </xdr:to>
    <xdr:graphicFrame macro="">
      <xdr:nvGraphicFramePr>
        <xdr:cNvPr id="37" name="Chart 36">
          <a:extLst>
            <a:ext uri="{FF2B5EF4-FFF2-40B4-BE49-F238E27FC236}">
              <a16:creationId xmlns:a16="http://schemas.microsoft.com/office/drawing/2014/main" id="{99C1982C-03E9-4762-AAFA-E9EAE91C5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17</xdr:col>
      <xdr:colOff>369668</xdr:colOff>
      <xdr:row>31</xdr:row>
      <xdr:rowOff>32629</xdr:rowOff>
    </xdr:to>
    <xdr:graphicFrame macro="">
      <xdr:nvGraphicFramePr>
        <xdr:cNvPr id="38" name="Chart 37">
          <a:extLst>
            <a:ext uri="{FF2B5EF4-FFF2-40B4-BE49-F238E27FC236}">
              <a16:creationId xmlns:a16="http://schemas.microsoft.com/office/drawing/2014/main" id="{F15AF832-5AD9-48F2-8FB4-07E628640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33</xdr:row>
      <xdr:rowOff>0</xdr:rowOff>
    </xdr:from>
    <xdr:to>
      <xdr:col>9</xdr:col>
      <xdr:colOff>313693</xdr:colOff>
      <xdr:row>48</xdr:row>
      <xdr:rowOff>54573</xdr:rowOff>
    </xdr:to>
    <xdr:graphicFrame macro="">
      <xdr:nvGraphicFramePr>
        <xdr:cNvPr id="39" name="Chart 38">
          <a:extLst>
            <a:ext uri="{FF2B5EF4-FFF2-40B4-BE49-F238E27FC236}">
              <a16:creationId xmlns:a16="http://schemas.microsoft.com/office/drawing/2014/main" id="{2696C1ED-298A-463B-8AB3-09831A364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9</xdr:row>
      <xdr:rowOff>0</xdr:rowOff>
    </xdr:from>
    <xdr:to>
      <xdr:col>21</xdr:col>
      <xdr:colOff>485396</xdr:colOff>
      <xdr:row>23</xdr:row>
      <xdr:rowOff>176554</xdr:rowOff>
    </xdr:to>
    <mc:AlternateContent xmlns:mc="http://schemas.openxmlformats.org/markup-compatibility/2006" xmlns:a14="http://schemas.microsoft.com/office/drawing/2010/main">
      <mc:Choice Requires="a14">
        <xdr:graphicFrame macro="">
          <xdr:nvGraphicFramePr>
            <xdr:cNvPr id="40" name="Discription 1">
              <a:extLst>
                <a:ext uri="{FF2B5EF4-FFF2-40B4-BE49-F238E27FC236}">
                  <a16:creationId xmlns:a16="http://schemas.microsoft.com/office/drawing/2014/main" id="{53A82632-92FA-4714-ACE8-8E10B301842A}"/>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12845143" y="1592036"/>
              <a:ext cx="1818896" cy="2653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29</xdr:row>
      <xdr:rowOff>0</xdr:rowOff>
    </xdr:from>
    <xdr:to>
      <xdr:col>21</xdr:col>
      <xdr:colOff>495300</xdr:colOff>
      <xdr:row>43</xdr:row>
      <xdr:rowOff>170423</xdr:rowOff>
    </xdr:to>
    <mc:AlternateContent xmlns:mc="http://schemas.openxmlformats.org/markup-compatibility/2006" xmlns:a14="http://schemas.microsoft.com/office/drawing/2010/main">
      <mc:Choice Requires="a14">
        <xdr:graphicFrame macro="">
          <xdr:nvGraphicFramePr>
            <xdr:cNvPr id="41" name="Category 1">
              <a:extLst>
                <a:ext uri="{FF2B5EF4-FFF2-40B4-BE49-F238E27FC236}">
                  <a16:creationId xmlns:a16="http://schemas.microsoft.com/office/drawing/2014/main" id="{EA959773-A409-405F-B640-D7BD2970F91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845143" y="5129893"/>
              <a:ext cx="1828800" cy="2646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264099</xdr:colOff>
      <xdr:row>1</xdr:row>
      <xdr:rowOff>65918</xdr:rowOff>
    </xdr:from>
    <xdr:to>
      <xdr:col>20</xdr:col>
      <xdr:colOff>235796</xdr:colOff>
      <xdr:row>7</xdr:row>
      <xdr:rowOff>7135</xdr:rowOff>
    </xdr:to>
    <xdr:sp macro="" textlink="">
      <xdr:nvSpPr>
        <xdr:cNvPr id="4" name="Rectangle: Rounded Corners 3">
          <a:extLst>
            <a:ext uri="{FF2B5EF4-FFF2-40B4-BE49-F238E27FC236}">
              <a16:creationId xmlns:a16="http://schemas.microsoft.com/office/drawing/2014/main" id="{29C023E9-D397-47AB-BF2B-E1B0BC2A5761}"/>
            </a:ext>
          </a:extLst>
        </xdr:cNvPr>
        <xdr:cNvSpPr/>
      </xdr:nvSpPr>
      <xdr:spPr>
        <a:xfrm>
          <a:off x="1473623" y="247347"/>
          <a:ext cx="10857411" cy="102978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52735</xdr:colOff>
      <xdr:row>2</xdr:row>
      <xdr:rowOff>175017</xdr:rowOff>
    </xdr:from>
    <xdr:to>
      <xdr:col>14</xdr:col>
      <xdr:colOff>569866</xdr:colOff>
      <xdr:row>5</xdr:row>
      <xdr:rowOff>12093</xdr:rowOff>
    </xdr:to>
    <xdr:sp macro="" textlink="">
      <xdr:nvSpPr>
        <xdr:cNvPr id="5" name="TextBox 4">
          <a:extLst>
            <a:ext uri="{FF2B5EF4-FFF2-40B4-BE49-F238E27FC236}">
              <a16:creationId xmlns:a16="http://schemas.microsoft.com/office/drawing/2014/main" id="{16043F6D-FA8E-4303-86C7-B65FDB172404}"/>
            </a:ext>
          </a:extLst>
        </xdr:cNvPr>
        <xdr:cNvSpPr txBox="1"/>
      </xdr:nvSpPr>
      <xdr:spPr>
        <a:xfrm>
          <a:off x="4890830" y="537874"/>
          <a:ext cx="4145703" cy="381362"/>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   Personal Finance Analiysizer</a:t>
          </a:r>
        </a:p>
      </xdr:txBody>
    </xdr:sp>
    <xdr:clientData/>
  </xdr:twoCellAnchor>
  <xdr:twoCellAnchor>
    <xdr:from>
      <xdr:col>0</xdr:col>
      <xdr:colOff>206585</xdr:colOff>
      <xdr:row>7</xdr:row>
      <xdr:rowOff>176348</xdr:rowOff>
    </xdr:from>
    <xdr:to>
      <xdr:col>4</xdr:col>
      <xdr:colOff>185902</xdr:colOff>
      <xdr:row>13</xdr:row>
      <xdr:rowOff>9252</xdr:rowOff>
    </xdr:to>
    <xdr:grpSp>
      <xdr:nvGrpSpPr>
        <xdr:cNvPr id="28" name="Group 27">
          <a:extLst>
            <a:ext uri="{FF2B5EF4-FFF2-40B4-BE49-F238E27FC236}">
              <a16:creationId xmlns:a16="http://schemas.microsoft.com/office/drawing/2014/main" id="{87B4C557-A058-E6FA-AE7A-9CBCCC05E74C}"/>
            </a:ext>
          </a:extLst>
        </xdr:cNvPr>
        <xdr:cNvGrpSpPr/>
      </xdr:nvGrpSpPr>
      <xdr:grpSpPr>
        <a:xfrm>
          <a:off x="206585" y="1361681"/>
          <a:ext cx="2640269" cy="848904"/>
          <a:chOff x="121920" y="1446348"/>
          <a:chExt cx="2398365" cy="921475"/>
        </a:xfrm>
      </xdr:grpSpPr>
      <xdr:sp macro="" textlink="">
        <xdr:nvSpPr>
          <xdr:cNvPr id="6" name="Rectangle: Rounded Corners 5">
            <a:extLst>
              <a:ext uri="{FF2B5EF4-FFF2-40B4-BE49-F238E27FC236}">
                <a16:creationId xmlns:a16="http://schemas.microsoft.com/office/drawing/2014/main" id="{1E9E9589-9843-4877-B8B4-4EFE5892348B}"/>
              </a:ext>
            </a:extLst>
          </xdr:cNvPr>
          <xdr:cNvSpPr/>
        </xdr:nvSpPr>
        <xdr:spPr>
          <a:xfrm>
            <a:off x="121920" y="1446348"/>
            <a:ext cx="2398365" cy="9214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8F95529-8538-4E5D-80F3-11490E3EBB2E}"/>
              </a:ext>
            </a:extLst>
          </xdr:cNvPr>
          <xdr:cNvSpPr/>
        </xdr:nvSpPr>
        <xdr:spPr>
          <a:xfrm>
            <a:off x="175260" y="1490617"/>
            <a:ext cx="772402" cy="840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6C3BCF25-A2C8-4B8D-8C40-93E79EB3C2E6}"/>
              </a:ext>
            </a:extLst>
          </xdr:cNvPr>
          <xdr:cNvSpPr/>
        </xdr:nvSpPr>
        <xdr:spPr>
          <a:xfrm>
            <a:off x="1109496" y="1551577"/>
            <a:ext cx="1211701" cy="31278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Total</a:t>
            </a:r>
            <a:r>
              <a:rPr lang="en-IN" sz="1100" b="1" baseline="0"/>
              <a:t> expences</a:t>
            </a:r>
            <a:endParaRPr lang="en-IN" sz="1100" b="1"/>
          </a:p>
        </xdr:txBody>
      </xdr:sp>
      <xdr:sp macro="" textlink="Sheet4!H8">
        <xdr:nvSpPr>
          <xdr:cNvPr id="12" name="Rectangle 11">
            <a:extLst>
              <a:ext uri="{FF2B5EF4-FFF2-40B4-BE49-F238E27FC236}">
                <a16:creationId xmlns:a16="http://schemas.microsoft.com/office/drawing/2014/main" id="{5DBA9A87-4F92-43E5-8E9B-39FBAE2CD5C4}"/>
              </a:ext>
            </a:extLst>
          </xdr:cNvPr>
          <xdr:cNvSpPr/>
        </xdr:nvSpPr>
        <xdr:spPr>
          <a:xfrm>
            <a:off x="1130542" y="1965052"/>
            <a:ext cx="1219321" cy="32639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686578C-BE76-4E5C-9EEB-7750C00C8782}" type="TxLink">
              <a:rPr lang="en-US" sz="1100" b="0" i="0" u="none" strike="noStrike">
                <a:solidFill>
                  <a:srgbClr val="000000"/>
                </a:solidFill>
                <a:latin typeface="Aptos Narrow"/>
              </a:rPr>
              <a:pPr algn="l"/>
              <a:t>295000</a:t>
            </a:fld>
            <a:endParaRPr lang="en-IN" sz="1100"/>
          </a:p>
        </xdr:txBody>
      </xdr:sp>
    </xdr:grpSp>
    <xdr:clientData/>
  </xdr:twoCellAnchor>
  <xdr:twoCellAnchor>
    <xdr:from>
      <xdr:col>4</xdr:col>
      <xdr:colOff>449519</xdr:colOff>
      <xdr:row>8</xdr:row>
      <xdr:rowOff>35679</xdr:rowOff>
    </xdr:from>
    <xdr:to>
      <xdr:col>8</xdr:col>
      <xdr:colOff>445164</xdr:colOff>
      <xdr:row>13</xdr:row>
      <xdr:rowOff>13364</xdr:rowOff>
    </xdr:to>
    <xdr:grpSp>
      <xdr:nvGrpSpPr>
        <xdr:cNvPr id="31" name="Group 30">
          <a:extLst>
            <a:ext uri="{FF2B5EF4-FFF2-40B4-BE49-F238E27FC236}">
              <a16:creationId xmlns:a16="http://schemas.microsoft.com/office/drawing/2014/main" id="{B8084A94-3F42-8C6C-5415-CE89E94963DD}"/>
            </a:ext>
          </a:extLst>
        </xdr:cNvPr>
        <xdr:cNvGrpSpPr/>
      </xdr:nvGrpSpPr>
      <xdr:grpSpPr>
        <a:xfrm>
          <a:off x="3110471" y="1390346"/>
          <a:ext cx="2656598" cy="824351"/>
          <a:chOff x="2844377" y="1450823"/>
          <a:chExt cx="2414692" cy="884827"/>
        </a:xfrm>
      </xdr:grpSpPr>
      <xdr:sp macro="" textlink="">
        <xdr:nvSpPr>
          <xdr:cNvPr id="9" name="Rectangle: Rounded Corners 8">
            <a:extLst>
              <a:ext uri="{FF2B5EF4-FFF2-40B4-BE49-F238E27FC236}">
                <a16:creationId xmlns:a16="http://schemas.microsoft.com/office/drawing/2014/main" id="{5F4E7CBE-A091-4C9A-8CB3-BC588ABD33ED}"/>
              </a:ext>
            </a:extLst>
          </xdr:cNvPr>
          <xdr:cNvSpPr/>
        </xdr:nvSpPr>
        <xdr:spPr>
          <a:xfrm>
            <a:off x="2844377" y="1450823"/>
            <a:ext cx="2414692" cy="88482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E8ED743-5356-453C-AB66-B2A4E2B4DC47}"/>
              </a:ext>
            </a:extLst>
          </xdr:cNvPr>
          <xdr:cNvSpPr/>
        </xdr:nvSpPr>
        <xdr:spPr>
          <a:xfrm>
            <a:off x="2873527" y="1460137"/>
            <a:ext cx="770284" cy="8465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41A80B22-1504-4689-BC75-857E51F3E4BF}"/>
              </a:ext>
            </a:extLst>
          </xdr:cNvPr>
          <xdr:cNvSpPr/>
        </xdr:nvSpPr>
        <xdr:spPr>
          <a:xfrm>
            <a:off x="3776072" y="1536337"/>
            <a:ext cx="1268307" cy="32802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Average</a:t>
            </a:r>
          </a:p>
        </xdr:txBody>
      </xdr:sp>
      <xdr:sp macro="" textlink="Sheet4!H17">
        <xdr:nvSpPr>
          <xdr:cNvPr id="13" name="Rectangle 12">
            <a:extLst>
              <a:ext uri="{FF2B5EF4-FFF2-40B4-BE49-F238E27FC236}">
                <a16:creationId xmlns:a16="http://schemas.microsoft.com/office/drawing/2014/main" id="{4BF6B4D0-DFB7-45DF-8ED2-087821CDE336}"/>
              </a:ext>
            </a:extLst>
          </xdr:cNvPr>
          <xdr:cNvSpPr/>
        </xdr:nvSpPr>
        <xdr:spPr>
          <a:xfrm>
            <a:off x="3760832" y="1925320"/>
            <a:ext cx="1260687" cy="33564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0D03060-DEA8-4002-BD59-041408BBD139}" type="TxLink">
              <a:rPr lang="en-US" sz="1100" b="0" i="0" u="none" strike="noStrike">
                <a:solidFill>
                  <a:srgbClr val="000000"/>
                </a:solidFill>
                <a:latin typeface="Aptos Narrow"/>
              </a:rPr>
              <a:pPr algn="l"/>
              <a:t>4842.105263</a:t>
            </a:fld>
            <a:endParaRPr lang="en-IN" sz="1100"/>
          </a:p>
        </xdr:txBody>
      </xdr:sp>
    </xdr:grpSp>
    <xdr:clientData/>
  </xdr:twoCellAnchor>
  <xdr:twoCellAnchor>
    <xdr:from>
      <xdr:col>9</xdr:col>
      <xdr:colOff>135531</xdr:colOff>
      <xdr:row>8</xdr:row>
      <xdr:rowOff>19109</xdr:rowOff>
    </xdr:from>
    <xdr:to>
      <xdr:col>13</xdr:col>
      <xdr:colOff>128455</xdr:colOff>
      <xdr:row>13</xdr:row>
      <xdr:rowOff>33442</xdr:rowOff>
    </xdr:to>
    <xdr:grpSp>
      <xdr:nvGrpSpPr>
        <xdr:cNvPr id="32" name="Group 31">
          <a:extLst>
            <a:ext uri="{FF2B5EF4-FFF2-40B4-BE49-F238E27FC236}">
              <a16:creationId xmlns:a16="http://schemas.microsoft.com/office/drawing/2014/main" id="{13BEFBA0-005D-3C04-018E-948F160F43CD}"/>
            </a:ext>
          </a:extLst>
        </xdr:cNvPr>
        <xdr:cNvGrpSpPr/>
      </xdr:nvGrpSpPr>
      <xdr:grpSpPr>
        <a:xfrm>
          <a:off x="6122674" y="1373776"/>
          <a:ext cx="2653876" cy="860999"/>
          <a:chOff x="6183146" y="1446348"/>
          <a:chExt cx="2411972" cy="921475"/>
        </a:xfrm>
      </xdr:grpSpPr>
      <xdr:sp macro="" textlink="">
        <xdr:nvSpPr>
          <xdr:cNvPr id="14" name="Rectangle: Rounded Corners 13">
            <a:extLst>
              <a:ext uri="{FF2B5EF4-FFF2-40B4-BE49-F238E27FC236}">
                <a16:creationId xmlns:a16="http://schemas.microsoft.com/office/drawing/2014/main" id="{A24D4880-2326-432D-A769-1F58D1B6DB5F}"/>
              </a:ext>
            </a:extLst>
          </xdr:cNvPr>
          <xdr:cNvSpPr/>
        </xdr:nvSpPr>
        <xdr:spPr>
          <a:xfrm>
            <a:off x="6183146" y="1446348"/>
            <a:ext cx="2411972" cy="9214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AF039084-198A-4F87-93AC-0375AF101B62}"/>
              </a:ext>
            </a:extLst>
          </xdr:cNvPr>
          <xdr:cNvSpPr/>
        </xdr:nvSpPr>
        <xdr:spPr>
          <a:xfrm>
            <a:off x="6228866" y="1475377"/>
            <a:ext cx="775124" cy="840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15">
            <a:extLst>
              <a:ext uri="{FF2B5EF4-FFF2-40B4-BE49-F238E27FC236}">
                <a16:creationId xmlns:a16="http://schemas.microsoft.com/office/drawing/2014/main" id="{CFAC279C-7F84-4C02-826C-1AD2687ABB24}"/>
              </a:ext>
            </a:extLst>
          </xdr:cNvPr>
          <xdr:cNvSpPr/>
        </xdr:nvSpPr>
        <xdr:spPr>
          <a:xfrm>
            <a:off x="7202110" y="1490617"/>
            <a:ext cx="1222586" cy="43470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Total</a:t>
            </a:r>
            <a:r>
              <a:rPr lang="en-IN" sz="1100" b="1" baseline="0"/>
              <a:t> expences by category</a:t>
            </a:r>
            <a:endParaRPr lang="en-IN" sz="1100" b="1"/>
          </a:p>
        </xdr:txBody>
      </xdr:sp>
      <xdr:sp macro="" textlink="Sheet4!H13">
        <xdr:nvSpPr>
          <xdr:cNvPr id="17" name="Rectangle 16">
            <a:extLst>
              <a:ext uri="{FF2B5EF4-FFF2-40B4-BE49-F238E27FC236}">
                <a16:creationId xmlns:a16="http://schemas.microsoft.com/office/drawing/2014/main" id="{02C62F29-054B-420F-95D5-767CA1943FBC}"/>
              </a:ext>
            </a:extLst>
          </xdr:cNvPr>
          <xdr:cNvSpPr/>
        </xdr:nvSpPr>
        <xdr:spPr>
          <a:xfrm>
            <a:off x="7179250" y="1955800"/>
            <a:ext cx="1230206" cy="32040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19023B6-94AA-49F5-9FB7-936B4561EFA2}" type="TxLink">
              <a:rPr lang="en-US" sz="1100" b="0" i="0" u="none" strike="noStrike">
                <a:solidFill>
                  <a:srgbClr val="000000"/>
                </a:solidFill>
                <a:latin typeface="Aptos Narrow"/>
              </a:rPr>
              <a:pPr algn="l"/>
              <a:t>55800</a:t>
            </a:fld>
            <a:endParaRPr lang="en-IN" sz="1100"/>
          </a:p>
        </xdr:txBody>
      </xdr:sp>
    </xdr:grpSp>
    <xdr:clientData/>
  </xdr:twoCellAnchor>
  <xdr:twoCellAnchor>
    <xdr:from>
      <xdr:col>13</xdr:col>
      <xdr:colOff>316118</xdr:colOff>
      <xdr:row>7</xdr:row>
      <xdr:rowOff>168728</xdr:rowOff>
    </xdr:from>
    <xdr:to>
      <xdr:col>17</xdr:col>
      <xdr:colOff>316602</xdr:colOff>
      <xdr:row>13</xdr:row>
      <xdr:rowOff>1632</xdr:rowOff>
    </xdr:to>
    <xdr:grpSp>
      <xdr:nvGrpSpPr>
        <xdr:cNvPr id="33" name="Group 32">
          <a:extLst>
            <a:ext uri="{FF2B5EF4-FFF2-40B4-BE49-F238E27FC236}">
              <a16:creationId xmlns:a16="http://schemas.microsoft.com/office/drawing/2014/main" id="{7B4AB555-FC8C-A5ED-F122-C5366ED86891}"/>
            </a:ext>
          </a:extLst>
        </xdr:cNvPr>
        <xdr:cNvGrpSpPr/>
      </xdr:nvGrpSpPr>
      <xdr:grpSpPr>
        <a:xfrm>
          <a:off x="8964213" y="1354061"/>
          <a:ext cx="2661437" cy="848904"/>
          <a:chOff x="9073062" y="1438728"/>
          <a:chExt cx="2419531" cy="921475"/>
        </a:xfrm>
      </xdr:grpSpPr>
      <xdr:sp macro="" textlink="">
        <xdr:nvSpPr>
          <xdr:cNvPr id="18" name="Rectangle: Rounded Corners 17">
            <a:extLst>
              <a:ext uri="{FF2B5EF4-FFF2-40B4-BE49-F238E27FC236}">
                <a16:creationId xmlns:a16="http://schemas.microsoft.com/office/drawing/2014/main" id="{D78E0F9C-9F76-43B2-A62C-C3A4CD8B5C48}"/>
              </a:ext>
            </a:extLst>
          </xdr:cNvPr>
          <xdr:cNvSpPr/>
        </xdr:nvSpPr>
        <xdr:spPr>
          <a:xfrm>
            <a:off x="9073062" y="1438728"/>
            <a:ext cx="2419531" cy="9214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19" name="Group 18">
            <a:extLst>
              <a:ext uri="{FF2B5EF4-FFF2-40B4-BE49-F238E27FC236}">
                <a16:creationId xmlns:a16="http://schemas.microsoft.com/office/drawing/2014/main" id="{782EC2F0-F731-4996-9680-E9C926F38CCF}"/>
              </a:ext>
            </a:extLst>
          </xdr:cNvPr>
          <xdr:cNvGrpSpPr/>
        </xdr:nvGrpSpPr>
        <xdr:grpSpPr>
          <a:xfrm>
            <a:off x="9118782" y="1475377"/>
            <a:ext cx="2175691" cy="840558"/>
            <a:chOff x="6164580" y="1516380"/>
            <a:chExt cx="2179320" cy="876300"/>
          </a:xfrm>
        </xdr:grpSpPr>
        <xdr:sp macro="" textlink="">
          <xdr:nvSpPr>
            <xdr:cNvPr id="20" name="Rectangle: Rounded Corners 19">
              <a:extLst>
                <a:ext uri="{FF2B5EF4-FFF2-40B4-BE49-F238E27FC236}">
                  <a16:creationId xmlns:a16="http://schemas.microsoft.com/office/drawing/2014/main" id="{BBA49EEE-124E-AE3A-AC75-D47FCEB1B962}"/>
                </a:ext>
              </a:extLst>
            </xdr:cNvPr>
            <xdr:cNvSpPr/>
          </xdr:nvSpPr>
          <xdr:spPr>
            <a:xfrm>
              <a:off x="6164580" y="1516380"/>
              <a:ext cx="77724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20">
              <a:extLst>
                <a:ext uri="{FF2B5EF4-FFF2-40B4-BE49-F238E27FC236}">
                  <a16:creationId xmlns:a16="http://schemas.microsoft.com/office/drawing/2014/main" id="{3D8DCA3D-F73A-EB49-8876-91FB89C3E96A}"/>
                </a:ext>
              </a:extLst>
            </xdr:cNvPr>
            <xdr:cNvSpPr/>
          </xdr:nvSpPr>
          <xdr:spPr>
            <a:xfrm>
              <a:off x="7117080" y="1600200"/>
              <a:ext cx="1226820" cy="4114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Total</a:t>
              </a:r>
              <a:r>
                <a:rPr lang="en-IN" sz="1100" b="1" baseline="0"/>
                <a:t> expences by month</a:t>
              </a:r>
              <a:endParaRPr lang="en-IN" sz="1100" b="1"/>
            </a:p>
          </xdr:txBody>
        </xdr:sp>
      </xdr:grpSp>
      <xdr:sp macro="" textlink="Sheet4!H21">
        <xdr:nvSpPr>
          <xdr:cNvPr id="22" name="Rectangle 21">
            <a:extLst>
              <a:ext uri="{FF2B5EF4-FFF2-40B4-BE49-F238E27FC236}">
                <a16:creationId xmlns:a16="http://schemas.microsoft.com/office/drawing/2014/main" id="{7AAF6662-120F-4B86-B46F-F40FEB3F59A5}"/>
              </a:ext>
            </a:extLst>
          </xdr:cNvPr>
          <xdr:cNvSpPr/>
        </xdr:nvSpPr>
        <xdr:spPr>
          <a:xfrm>
            <a:off x="10117606" y="1980292"/>
            <a:ext cx="1176867" cy="28829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5116A80-6FB4-489A-9DB4-53776B96DD7E}" type="TxLink">
              <a:rPr lang="en-US" sz="1100" b="0" i="0" u="none" strike="noStrike">
                <a:solidFill>
                  <a:srgbClr val="000000"/>
                </a:solidFill>
                <a:latin typeface="Aptos Narrow"/>
              </a:rPr>
              <a:pPr algn="l"/>
              <a:t>23900</a:t>
            </a:fld>
            <a:endParaRPr lang="en-IN" sz="1100"/>
          </a:p>
        </xdr:txBody>
      </xdr:sp>
    </xdr:grpSp>
    <xdr:clientData/>
  </xdr:twoCellAnchor>
  <xdr:twoCellAnchor>
    <xdr:from>
      <xdr:col>0</xdr:col>
      <xdr:colOff>418859</xdr:colOff>
      <xdr:row>15</xdr:row>
      <xdr:rowOff>46747</xdr:rowOff>
    </xdr:from>
    <xdr:to>
      <xdr:col>6</xdr:col>
      <xdr:colOff>478954</xdr:colOff>
      <xdr:row>28</xdr:row>
      <xdr:rowOff>7406</xdr:rowOff>
    </xdr:to>
    <xdr:graphicFrame macro="">
      <xdr:nvGraphicFramePr>
        <xdr:cNvPr id="23" name="Chart 22">
          <a:extLst>
            <a:ext uri="{FF2B5EF4-FFF2-40B4-BE49-F238E27FC236}">
              <a16:creationId xmlns:a16="http://schemas.microsoft.com/office/drawing/2014/main" id="{CE9C7561-F836-4622-95CF-5E3207A7D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268575</xdr:colOff>
      <xdr:row>14</xdr:row>
      <xdr:rowOff>167700</xdr:rowOff>
    </xdr:from>
    <xdr:to>
      <xdr:col>16</xdr:col>
      <xdr:colOff>193525</xdr:colOff>
      <xdr:row>28</xdr:row>
      <xdr:rowOff>116509</xdr:rowOff>
    </xdr:to>
    <xdr:graphicFrame macro="">
      <xdr:nvGraphicFramePr>
        <xdr:cNvPr id="24" name="Chart 23">
          <a:extLst>
            <a:ext uri="{FF2B5EF4-FFF2-40B4-BE49-F238E27FC236}">
              <a16:creationId xmlns:a16="http://schemas.microsoft.com/office/drawing/2014/main" id="{CEFB7C24-5F8A-432A-8951-7CA3DE7BD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324819</xdr:colOff>
      <xdr:row>14</xdr:row>
      <xdr:rowOff>84000</xdr:rowOff>
    </xdr:from>
    <xdr:to>
      <xdr:col>24</xdr:col>
      <xdr:colOff>52799</xdr:colOff>
      <xdr:row>29</xdr:row>
      <xdr:rowOff>50217</xdr:rowOff>
    </xdr:to>
    <xdr:graphicFrame macro="">
      <xdr:nvGraphicFramePr>
        <xdr:cNvPr id="25" name="Chart 24">
          <a:extLst>
            <a:ext uri="{FF2B5EF4-FFF2-40B4-BE49-F238E27FC236}">
              <a16:creationId xmlns:a16="http://schemas.microsoft.com/office/drawing/2014/main" id="{98BF234B-8E24-4FC7-AB7F-AB99E43F8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201748</xdr:colOff>
      <xdr:row>29</xdr:row>
      <xdr:rowOff>155120</xdr:rowOff>
    </xdr:from>
    <xdr:to>
      <xdr:col>8</xdr:col>
      <xdr:colOff>10415</xdr:colOff>
      <xdr:row>45</xdr:row>
      <xdr:rowOff>77069</xdr:rowOff>
    </xdr:to>
    <mc:AlternateContent xmlns:mc="http://schemas.openxmlformats.org/markup-compatibility/2006" xmlns:a14="http://schemas.microsoft.com/office/drawing/2010/main">
      <mc:Choice Requires="a14">
        <xdr:graphicFrame macro="">
          <xdr:nvGraphicFramePr>
            <xdr:cNvPr id="26" name="Discription 2">
              <a:extLst>
                <a:ext uri="{FF2B5EF4-FFF2-40B4-BE49-F238E27FC236}">
                  <a16:creationId xmlns:a16="http://schemas.microsoft.com/office/drawing/2014/main" id="{F1759957-884D-4E86-9021-89868BC4038E}"/>
                </a:ext>
              </a:extLst>
            </xdr:cNvPr>
            <xdr:cNvGraphicFramePr/>
          </xdr:nvGraphicFramePr>
          <xdr:xfrm>
            <a:off x="0" y="0"/>
            <a:ext cx="0" cy="0"/>
          </xdr:xfrm>
          <a:graphic>
            <a:graphicData uri="http://schemas.microsoft.com/office/drawing/2010/slicer">
              <sle:slicer xmlns:sle="http://schemas.microsoft.com/office/drawing/2010/slicer" name="Discription 2"/>
            </a:graphicData>
          </a:graphic>
        </xdr:graphicFrame>
      </mc:Choice>
      <mc:Fallback xmlns="">
        <xdr:sp macro="" textlink="">
          <xdr:nvSpPr>
            <xdr:cNvPr id="0" name=""/>
            <xdr:cNvSpPr>
              <a:spLocks noTextEdit="1"/>
            </xdr:cNvSpPr>
          </xdr:nvSpPr>
          <xdr:spPr>
            <a:xfrm>
              <a:off x="3225558" y="5416549"/>
              <a:ext cx="1804382" cy="2631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540414</xdr:colOff>
      <xdr:row>30</xdr:row>
      <xdr:rowOff>23283</xdr:rowOff>
    </xdr:from>
    <xdr:to>
      <xdr:col>12</xdr:col>
      <xdr:colOff>358986</xdr:colOff>
      <xdr:row>45</xdr:row>
      <xdr:rowOff>109886</xdr:rowOff>
    </xdr:to>
    <mc:AlternateContent xmlns:mc="http://schemas.openxmlformats.org/markup-compatibility/2006" xmlns:a14="http://schemas.microsoft.com/office/drawing/2010/main">
      <mc:Choice Requires="a14">
        <xdr:graphicFrame macro="">
          <xdr:nvGraphicFramePr>
            <xdr:cNvPr id="27" name="Category 2">
              <a:extLst>
                <a:ext uri="{FF2B5EF4-FFF2-40B4-BE49-F238E27FC236}">
                  <a16:creationId xmlns:a16="http://schemas.microsoft.com/office/drawing/2014/main" id="{9BC0FA53-EBE4-4DC2-80E4-6E8BDA46B17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983271" y="5466140"/>
              <a:ext cx="1814286" cy="2626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U KOMARABATTINA" refreshedDate="46042.421704745371" createdVersion="8" refreshedVersion="8" minRefreshableVersion="3" recordCount="61" xr:uid="{3BC18AFC-C075-4F99-8E09-63350A46F717}">
  <cacheSource type="worksheet">
    <worksheetSource ref="A1:E62" sheet="Sheet1"/>
  </cacheSource>
  <cacheFields count="5">
    <cacheField name="Date" numFmtId="14">
      <sharedItems containsNonDate="0" containsDate="1" containsMixedTypes="1" minDate="2025-01-05T00:00:00" maxDate="2025-12-27T00:00:00"/>
    </cacheField>
    <cacheField name="Month" numFmtId="0">
      <sharedItems/>
    </cacheField>
    <cacheField name="Category" numFmtId="0">
      <sharedItems count="6">
        <s v="Column3"/>
        <s v="Rent"/>
        <s v="Food"/>
        <s v="Transport"/>
        <s v="Entertainment"/>
        <s v="Utilities"/>
      </sharedItems>
    </cacheField>
    <cacheField name="Discription" numFmtId="0">
      <sharedItems count="15">
        <s v="Column4"/>
        <s v="House Rent"/>
        <s v="Groceries"/>
        <s v="Bus&amp;Fuel"/>
        <s v="Movies"/>
        <s v="Electricity bill"/>
        <s v="Water&amp;Power"/>
        <s v="Bus pass"/>
        <s v="Outgoing"/>
        <s v="Fuel"/>
        <s v="Shopping"/>
        <s v="Trip"/>
        <s v="Festival Shopping"/>
        <s v="Travel"/>
        <s v="Year-End Party"/>
      </sharedItems>
    </cacheField>
    <cacheField name="Actual amount" numFmtId="0">
      <sharedItems containsMixedTypes="1" containsNumber="1" containsInteger="1" minValue="1500" maxValue="12000" count="34">
        <s v="Column5"/>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U KOMARABATTINA" refreshedDate="46042.43087488426" createdVersion="8" refreshedVersion="8" minRefreshableVersion="3" recordCount="60" xr:uid="{8F18C0B0-5450-4D6B-B6A4-B456E060388A}">
  <cacheSource type="worksheet">
    <worksheetSource ref="A1:E61" sheet="Sheet4"/>
  </cacheSource>
  <cacheFields count="7">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fieldGroup par="6"/>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ount="33">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 name="Days (Date)" numFmtId="0" databaseField="0">
      <fieldGroup base="0">
        <rangePr groupBy="days" startDate="2025-01-05T00:00:00" endDate="2025-12-27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Months (Date)" numFmtId="0" databaseField="0">
      <fieldGroup base="0">
        <rangePr groupBy="months" startDate="2025-01-05T00:00:00" endDate="2025-12-27T00:00:00"/>
        <groupItems count="14">
          <s v="&lt;05-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275371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Column1"/>
    <s v="Column2"/>
    <x v="0"/>
    <x v="0"/>
    <x v="0"/>
  </r>
  <r>
    <d v="2025-01-05T00:00:00"/>
    <s v="January"/>
    <x v="1"/>
    <x v="1"/>
    <x v="1"/>
  </r>
  <r>
    <d v="2025-01-08T00:00:00"/>
    <s v="January"/>
    <x v="2"/>
    <x v="2"/>
    <x v="2"/>
  </r>
  <r>
    <d v="2025-01-12T00:00:00"/>
    <s v="January"/>
    <x v="3"/>
    <x v="3"/>
    <x v="3"/>
  </r>
  <r>
    <d v="2025-01-18T00:00:00"/>
    <s v="January"/>
    <x v="4"/>
    <x v="4"/>
    <x v="4"/>
  </r>
  <r>
    <d v="2025-01-25T00:00:00"/>
    <s v="January"/>
    <x v="5"/>
    <x v="5"/>
    <x v="5"/>
  </r>
  <r>
    <d v="2025-02-05T00:00:00"/>
    <s v="February"/>
    <x v="1"/>
    <x v="1"/>
    <x v="1"/>
  </r>
  <r>
    <d v="2025-02-09T00:00:00"/>
    <s v="February"/>
    <x v="2"/>
    <x v="2"/>
    <x v="6"/>
  </r>
  <r>
    <d v="2025-02-12T00:00:00"/>
    <s v="February"/>
    <x v="3"/>
    <x v="3"/>
    <x v="7"/>
  </r>
  <r>
    <d v="2025-02-18T00:00:00"/>
    <s v="February"/>
    <x v="4"/>
    <x v="4"/>
    <x v="8"/>
  </r>
  <r>
    <d v="2025-02-24T00:00:00"/>
    <s v="February"/>
    <x v="5"/>
    <x v="6"/>
    <x v="9"/>
  </r>
  <r>
    <d v="2025-03-05T00:00:00"/>
    <s v="March"/>
    <x v="1"/>
    <x v="1"/>
    <x v="1"/>
  </r>
  <r>
    <d v="2025-03-08T00:00:00"/>
    <s v="March"/>
    <x v="2"/>
    <x v="2"/>
    <x v="10"/>
  </r>
  <r>
    <d v="2025-03-14T00:00:00"/>
    <s v="March"/>
    <x v="3"/>
    <x v="7"/>
    <x v="5"/>
  </r>
  <r>
    <d v="2025-03-20T00:00:00"/>
    <s v="March"/>
    <x v="4"/>
    <x v="8"/>
    <x v="11"/>
  </r>
  <r>
    <d v="2025-03-26T00:00:00"/>
    <s v="March"/>
    <x v="5"/>
    <x v="5"/>
    <x v="4"/>
  </r>
  <r>
    <d v="2025-04-05T00:00:00"/>
    <s v="April"/>
    <x v="1"/>
    <x v="1"/>
    <x v="1"/>
  </r>
  <r>
    <d v="2025-04-09T00:00:00"/>
    <s v="April"/>
    <x v="2"/>
    <x v="2"/>
    <x v="12"/>
  </r>
  <r>
    <d v="2025-04-13T00:00:00"/>
    <s v="April"/>
    <x v="3"/>
    <x v="9"/>
    <x v="13"/>
  </r>
  <r>
    <d v="2025-04-19T00:00:00"/>
    <s v="April"/>
    <x v="4"/>
    <x v="4"/>
    <x v="14"/>
  </r>
  <r>
    <d v="2025-04-25T00:00:00"/>
    <s v="April"/>
    <x v="5"/>
    <x v="5"/>
    <x v="15"/>
  </r>
  <r>
    <d v="2025-05-05T00:00:00"/>
    <s v="May"/>
    <x v="1"/>
    <x v="1"/>
    <x v="1"/>
  </r>
  <r>
    <d v="2025-05-08T00:00:00"/>
    <s v="May"/>
    <x v="2"/>
    <x v="2"/>
    <x v="16"/>
  </r>
  <r>
    <d v="2025-05-14T00:00:00"/>
    <s v="May"/>
    <x v="3"/>
    <x v="9"/>
    <x v="17"/>
  </r>
  <r>
    <d v="2025-05-20T00:00:00"/>
    <s v="May"/>
    <x v="4"/>
    <x v="10"/>
    <x v="18"/>
  </r>
  <r>
    <d v="2025-05-26T00:00:00"/>
    <s v="May"/>
    <x v="5"/>
    <x v="5"/>
    <x v="5"/>
  </r>
  <r>
    <d v="2025-06-05T00:00:00"/>
    <s v="June"/>
    <x v="1"/>
    <x v="1"/>
    <x v="1"/>
  </r>
  <r>
    <d v="2025-06-09T00:00:00"/>
    <s v="June"/>
    <x v="2"/>
    <x v="2"/>
    <x v="19"/>
  </r>
  <r>
    <d v="2025-06-13T00:00:00"/>
    <s v="June"/>
    <x v="3"/>
    <x v="9"/>
    <x v="20"/>
  </r>
  <r>
    <d v="2025-06-18T00:00:00"/>
    <s v="June"/>
    <x v="4"/>
    <x v="11"/>
    <x v="3"/>
  </r>
  <r>
    <d v="2025-06-25T00:00:00"/>
    <s v="June"/>
    <x v="5"/>
    <x v="5"/>
    <x v="21"/>
  </r>
  <r>
    <d v="2025-07-05T00:00:00"/>
    <s v="July"/>
    <x v="1"/>
    <x v="1"/>
    <x v="1"/>
  </r>
  <r>
    <d v="2025-07-08T00:00:00"/>
    <s v="July"/>
    <x v="2"/>
    <x v="2"/>
    <x v="22"/>
  </r>
  <r>
    <d v="2025-07-12T00:00:00"/>
    <s v="July"/>
    <x v="3"/>
    <x v="7"/>
    <x v="5"/>
  </r>
  <r>
    <d v="2025-07-19T00:00:00"/>
    <s v="July"/>
    <x v="4"/>
    <x v="4"/>
    <x v="23"/>
  </r>
  <r>
    <d v="2025-07-26T00:00:00"/>
    <s v="July"/>
    <x v="5"/>
    <x v="5"/>
    <x v="9"/>
  </r>
  <r>
    <d v="2025-08-05T00:00:00"/>
    <s v="August"/>
    <x v="1"/>
    <x v="1"/>
    <x v="1"/>
  </r>
  <r>
    <d v="2025-08-09T00:00:00"/>
    <s v="August"/>
    <x v="2"/>
    <x v="2"/>
    <x v="24"/>
  </r>
  <r>
    <d v="2025-08-14T00:00:00"/>
    <s v="August"/>
    <x v="3"/>
    <x v="9"/>
    <x v="25"/>
  </r>
  <r>
    <d v="2025-08-20T00:00:00"/>
    <s v="August"/>
    <x v="4"/>
    <x v="10"/>
    <x v="14"/>
  </r>
  <r>
    <d v="2025-08-26T00:00:00"/>
    <s v="August"/>
    <x v="5"/>
    <x v="5"/>
    <x v="15"/>
  </r>
  <r>
    <d v="2025-09-05T00:00:00"/>
    <s v="September"/>
    <x v="1"/>
    <x v="1"/>
    <x v="1"/>
  </r>
  <r>
    <d v="2025-09-08T00:00:00"/>
    <s v="September"/>
    <x v="2"/>
    <x v="2"/>
    <x v="26"/>
  </r>
  <r>
    <d v="2025-09-13T00:00:00"/>
    <s v="September"/>
    <x v="3"/>
    <x v="7"/>
    <x v="21"/>
  </r>
  <r>
    <d v="2025-09-18T00:00:00"/>
    <s v="September"/>
    <x v="4"/>
    <x v="8"/>
    <x v="27"/>
  </r>
  <r>
    <d v="2025-09-25T00:00:00"/>
    <s v="September"/>
    <x v="5"/>
    <x v="5"/>
    <x v="9"/>
  </r>
  <r>
    <d v="2025-10-05T00:00:00"/>
    <s v="October"/>
    <x v="1"/>
    <x v="1"/>
    <x v="1"/>
  </r>
  <r>
    <d v="2025-10-09T00:00:00"/>
    <s v="October"/>
    <x v="2"/>
    <x v="2"/>
    <x v="28"/>
  </r>
  <r>
    <d v="2025-10-14T00:00:00"/>
    <s v="October"/>
    <x v="3"/>
    <x v="9"/>
    <x v="7"/>
  </r>
  <r>
    <d v="2025-10-20T00:00:00"/>
    <s v="October"/>
    <x v="4"/>
    <x v="12"/>
    <x v="29"/>
  </r>
  <r>
    <d v="2025-10-26T00:00:00"/>
    <s v="October"/>
    <x v="5"/>
    <x v="5"/>
    <x v="3"/>
  </r>
  <r>
    <d v="2025-11-05T00:00:00"/>
    <s v="November"/>
    <x v="1"/>
    <x v="1"/>
    <x v="1"/>
  </r>
  <r>
    <d v="2025-11-08T00:00:00"/>
    <s v="November"/>
    <x v="2"/>
    <x v="2"/>
    <x v="30"/>
  </r>
  <r>
    <d v="2025-11-13T00:00:00"/>
    <s v="November"/>
    <x v="3"/>
    <x v="9"/>
    <x v="13"/>
  </r>
  <r>
    <d v="2025-11-19T00:00:00"/>
    <s v="November"/>
    <x v="4"/>
    <x v="4"/>
    <x v="18"/>
  </r>
  <r>
    <d v="2025-11-25T00:00:00"/>
    <s v="November"/>
    <x v="5"/>
    <x v="5"/>
    <x v="5"/>
  </r>
  <r>
    <d v="2025-12-05T00:00:00"/>
    <s v="December"/>
    <x v="1"/>
    <x v="1"/>
    <x v="1"/>
  </r>
  <r>
    <d v="2025-12-09T00:00:00"/>
    <s v="December"/>
    <x v="2"/>
    <x v="2"/>
    <x v="31"/>
  </r>
  <r>
    <d v="2025-12-14T00:00:00"/>
    <s v="December"/>
    <x v="3"/>
    <x v="13"/>
    <x v="32"/>
  </r>
  <r>
    <d v="2025-12-20T00:00:00"/>
    <s v="December"/>
    <x v="4"/>
    <x v="14"/>
    <x v="33"/>
  </r>
  <r>
    <d v="2025-12-26T00:00:00"/>
    <s v="December"/>
    <x v="5"/>
    <x v="5"/>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r>
  <r>
    <x v="1"/>
    <x v="0"/>
    <x v="1"/>
    <x v="1"/>
    <x v="1"/>
  </r>
  <r>
    <x v="2"/>
    <x v="0"/>
    <x v="2"/>
    <x v="2"/>
    <x v="2"/>
  </r>
  <r>
    <x v="3"/>
    <x v="0"/>
    <x v="3"/>
    <x v="3"/>
    <x v="3"/>
  </r>
  <r>
    <x v="4"/>
    <x v="0"/>
    <x v="4"/>
    <x v="4"/>
    <x v="4"/>
  </r>
  <r>
    <x v="5"/>
    <x v="1"/>
    <x v="0"/>
    <x v="0"/>
    <x v="0"/>
  </r>
  <r>
    <x v="6"/>
    <x v="1"/>
    <x v="1"/>
    <x v="1"/>
    <x v="5"/>
  </r>
  <r>
    <x v="7"/>
    <x v="1"/>
    <x v="2"/>
    <x v="2"/>
    <x v="6"/>
  </r>
  <r>
    <x v="8"/>
    <x v="1"/>
    <x v="3"/>
    <x v="3"/>
    <x v="7"/>
  </r>
  <r>
    <x v="9"/>
    <x v="1"/>
    <x v="4"/>
    <x v="5"/>
    <x v="8"/>
  </r>
  <r>
    <x v="10"/>
    <x v="2"/>
    <x v="0"/>
    <x v="0"/>
    <x v="0"/>
  </r>
  <r>
    <x v="11"/>
    <x v="2"/>
    <x v="1"/>
    <x v="1"/>
    <x v="9"/>
  </r>
  <r>
    <x v="12"/>
    <x v="2"/>
    <x v="2"/>
    <x v="6"/>
    <x v="4"/>
  </r>
  <r>
    <x v="13"/>
    <x v="2"/>
    <x v="3"/>
    <x v="7"/>
    <x v="10"/>
  </r>
  <r>
    <x v="14"/>
    <x v="2"/>
    <x v="4"/>
    <x v="4"/>
    <x v="3"/>
  </r>
  <r>
    <x v="15"/>
    <x v="3"/>
    <x v="0"/>
    <x v="0"/>
    <x v="0"/>
  </r>
  <r>
    <x v="16"/>
    <x v="3"/>
    <x v="1"/>
    <x v="1"/>
    <x v="11"/>
  </r>
  <r>
    <x v="17"/>
    <x v="3"/>
    <x v="2"/>
    <x v="8"/>
    <x v="12"/>
  </r>
  <r>
    <x v="18"/>
    <x v="3"/>
    <x v="3"/>
    <x v="3"/>
    <x v="13"/>
  </r>
  <r>
    <x v="19"/>
    <x v="3"/>
    <x v="4"/>
    <x v="4"/>
    <x v="14"/>
  </r>
  <r>
    <x v="20"/>
    <x v="4"/>
    <x v="0"/>
    <x v="0"/>
    <x v="0"/>
  </r>
  <r>
    <x v="21"/>
    <x v="4"/>
    <x v="1"/>
    <x v="1"/>
    <x v="15"/>
  </r>
  <r>
    <x v="22"/>
    <x v="4"/>
    <x v="2"/>
    <x v="8"/>
    <x v="16"/>
  </r>
  <r>
    <x v="23"/>
    <x v="4"/>
    <x v="3"/>
    <x v="9"/>
    <x v="17"/>
  </r>
  <r>
    <x v="24"/>
    <x v="4"/>
    <x v="4"/>
    <x v="4"/>
    <x v="4"/>
  </r>
  <r>
    <x v="25"/>
    <x v="5"/>
    <x v="0"/>
    <x v="0"/>
    <x v="0"/>
  </r>
  <r>
    <x v="26"/>
    <x v="5"/>
    <x v="1"/>
    <x v="1"/>
    <x v="18"/>
  </r>
  <r>
    <x v="27"/>
    <x v="5"/>
    <x v="2"/>
    <x v="8"/>
    <x v="19"/>
  </r>
  <r>
    <x v="28"/>
    <x v="5"/>
    <x v="3"/>
    <x v="10"/>
    <x v="2"/>
  </r>
  <r>
    <x v="29"/>
    <x v="5"/>
    <x v="4"/>
    <x v="4"/>
    <x v="20"/>
  </r>
  <r>
    <x v="30"/>
    <x v="6"/>
    <x v="0"/>
    <x v="0"/>
    <x v="0"/>
  </r>
  <r>
    <x v="31"/>
    <x v="6"/>
    <x v="1"/>
    <x v="1"/>
    <x v="21"/>
  </r>
  <r>
    <x v="32"/>
    <x v="6"/>
    <x v="2"/>
    <x v="6"/>
    <x v="4"/>
  </r>
  <r>
    <x v="33"/>
    <x v="6"/>
    <x v="3"/>
    <x v="3"/>
    <x v="22"/>
  </r>
  <r>
    <x v="34"/>
    <x v="6"/>
    <x v="4"/>
    <x v="4"/>
    <x v="8"/>
  </r>
  <r>
    <x v="35"/>
    <x v="7"/>
    <x v="0"/>
    <x v="0"/>
    <x v="0"/>
  </r>
  <r>
    <x v="36"/>
    <x v="7"/>
    <x v="1"/>
    <x v="1"/>
    <x v="23"/>
  </r>
  <r>
    <x v="37"/>
    <x v="7"/>
    <x v="2"/>
    <x v="8"/>
    <x v="24"/>
  </r>
  <r>
    <x v="38"/>
    <x v="7"/>
    <x v="3"/>
    <x v="9"/>
    <x v="13"/>
  </r>
  <r>
    <x v="39"/>
    <x v="7"/>
    <x v="4"/>
    <x v="4"/>
    <x v="14"/>
  </r>
  <r>
    <x v="40"/>
    <x v="8"/>
    <x v="0"/>
    <x v="0"/>
    <x v="0"/>
  </r>
  <r>
    <x v="41"/>
    <x v="8"/>
    <x v="1"/>
    <x v="1"/>
    <x v="25"/>
  </r>
  <r>
    <x v="42"/>
    <x v="8"/>
    <x v="2"/>
    <x v="6"/>
    <x v="20"/>
  </r>
  <r>
    <x v="43"/>
    <x v="8"/>
    <x v="3"/>
    <x v="7"/>
    <x v="26"/>
  </r>
  <r>
    <x v="44"/>
    <x v="8"/>
    <x v="4"/>
    <x v="4"/>
    <x v="8"/>
  </r>
  <r>
    <x v="45"/>
    <x v="9"/>
    <x v="0"/>
    <x v="0"/>
    <x v="0"/>
  </r>
  <r>
    <x v="46"/>
    <x v="9"/>
    <x v="1"/>
    <x v="1"/>
    <x v="27"/>
  </r>
  <r>
    <x v="47"/>
    <x v="9"/>
    <x v="2"/>
    <x v="8"/>
    <x v="6"/>
  </r>
  <r>
    <x v="48"/>
    <x v="9"/>
    <x v="3"/>
    <x v="11"/>
    <x v="28"/>
  </r>
  <r>
    <x v="49"/>
    <x v="9"/>
    <x v="4"/>
    <x v="4"/>
    <x v="2"/>
  </r>
  <r>
    <x v="50"/>
    <x v="10"/>
    <x v="0"/>
    <x v="0"/>
    <x v="0"/>
  </r>
  <r>
    <x v="51"/>
    <x v="10"/>
    <x v="1"/>
    <x v="1"/>
    <x v="29"/>
  </r>
  <r>
    <x v="52"/>
    <x v="10"/>
    <x v="2"/>
    <x v="8"/>
    <x v="12"/>
  </r>
  <r>
    <x v="53"/>
    <x v="10"/>
    <x v="3"/>
    <x v="3"/>
    <x v="17"/>
  </r>
  <r>
    <x v="54"/>
    <x v="10"/>
    <x v="4"/>
    <x v="4"/>
    <x v="4"/>
  </r>
  <r>
    <x v="55"/>
    <x v="11"/>
    <x v="0"/>
    <x v="0"/>
    <x v="0"/>
  </r>
  <r>
    <x v="56"/>
    <x v="11"/>
    <x v="1"/>
    <x v="1"/>
    <x v="30"/>
  </r>
  <r>
    <x v="57"/>
    <x v="11"/>
    <x v="2"/>
    <x v="12"/>
    <x v="31"/>
  </r>
  <r>
    <x v="58"/>
    <x v="11"/>
    <x v="3"/>
    <x v="13"/>
    <x v="32"/>
  </r>
  <r>
    <x v="59"/>
    <x v="11"/>
    <x v="4"/>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63358D-208F-450D-9C60-96C5C337F8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5">
    <pivotField showAll="0"/>
    <pivotField showAll="0"/>
    <pivotField axis="axisRow" showAll="0">
      <items count="7">
        <item x="0"/>
        <item x="4"/>
        <item x="2"/>
        <item x="1"/>
        <item x="3"/>
        <item x="5"/>
        <item t="default"/>
      </items>
    </pivotField>
    <pivotField showAll="0">
      <items count="16">
        <item x="7"/>
        <item x="3"/>
        <item x="0"/>
        <item x="5"/>
        <item x="12"/>
        <item x="9"/>
        <item x="2"/>
        <item x="1"/>
        <item x="4"/>
        <item x="8"/>
        <item x="10"/>
        <item x="13"/>
        <item x="11"/>
        <item x="6"/>
        <item x="14"/>
        <item t="default"/>
      </items>
    </pivotField>
    <pivotField showAll="0">
      <items count="35">
        <item x="11"/>
        <item x="23"/>
        <item x="8"/>
        <item x="27"/>
        <item x="18"/>
        <item x="14"/>
        <item x="4"/>
        <item x="9"/>
        <item x="15"/>
        <item x="5"/>
        <item x="21"/>
        <item x="3"/>
        <item x="17"/>
        <item x="13"/>
        <item x="25"/>
        <item x="7"/>
        <item x="20"/>
        <item x="29"/>
        <item x="32"/>
        <item x="10"/>
        <item x="33"/>
        <item x="22"/>
        <item x="2"/>
        <item x="26"/>
        <item x="12"/>
        <item x="30"/>
        <item x="24"/>
        <item x="16"/>
        <item x="28"/>
        <item x="6"/>
        <item x="19"/>
        <item x="31"/>
        <item x="1"/>
        <item x="0"/>
        <item t="default"/>
      </items>
    </pivotField>
  </pivotFields>
  <rowFields count="1">
    <field x="2"/>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85F06F-AAA5-4967-87FE-B0C05674147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3:I17" firstHeaderRow="1" firstDataRow="2" firstDataCol="1"/>
  <pivotFields count="7">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13">
        <item x="0"/>
        <item x="1"/>
        <item x="2"/>
        <item x="3"/>
        <item x="4"/>
        <item x="5"/>
        <item x="6"/>
        <item x="7"/>
        <item x="8"/>
        <item x="9"/>
        <item x="10"/>
        <item x="11"/>
        <item t="default"/>
      </items>
    </pivotField>
    <pivotField axis="axisCol" showAll="0">
      <items count="6">
        <item h="1" x="3"/>
        <item h="1" x="1"/>
        <item x="0"/>
        <item h="1" x="2"/>
        <item h="1" x="4"/>
        <item t="default"/>
      </items>
    </pivotField>
    <pivotField showAll="0">
      <items count="15">
        <item h="1" x="6"/>
        <item h="1" x="2"/>
        <item h="1" x="4"/>
        <item h="1" x="11"/>
        <item h="1" x="8"/>
        <item h="1" x="1"/>
        <item x="0"/>
        <item h="1" x="3"/>
        <item h="1" x="7"/>
        <item h="1" x="9"/>
        <item h="1" x="12"/>
        <item h="1" x="10"/>
        <item h="1" x="5"/>
        <item h="1" x="13"/>
        <item t="default"/>
      </items>
    </pivotField>
    <pivotField dataField="1" showAll="0">
      <items count="34">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3">
    <i>
      <x/>
    </i>
    <i>
      <x v="1"/>
    </i>
    <i>
      <x v="2"/>
    </i>
    <i>
      <x v="3"/>
    </i>
    <i>
      <x v="4"/>
    </i>
    <i>
      <x v="5"/>
    </i>
    <i>
      <x v="6"/>
    </i>
    <i>
      <x v="7"/>
    </i>
    <i>
      <x v="8"/>
    </i>
    <i>
      <x v="9"/>
    </i>
    <i>
      <x v="10"/>
    </i>
    <i>
      <x v="11"/>
    </i>
    <i t="grand">
      <x/>
    </i>
  </rowItems>
  <colFields count="1">
    <field x="2"/>
  </colFields>
  <colItems count="2">
    <i>
      <x v="2"/>
    </i>
    <i t="grand">
      <x/>
    </i>
  </colItems>
  <dataFields count="1">
    <dataField name="Sum of Actual amount" fld="4" baseField="0" baseItem="0"/>
  </dataFields>
  <chartFormats count="58">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3"/>
          </reference>
        </references>
      </pivotArea>
    </chartFormat>
    <chartFormat chart="10" format="4" series="1">
      <pivotArea type="data" outline="0" fieldPosition="0">
        <references count="2">
          <reference field="4294967294" count="1" selected="0">
            <x v="0"/>
          </reference>
          <reference field="2" count="1" selected="0">
            <x v="4"/>
          </reference>
        </references>
      </pivotArea>
    </chartFormat>
    <chartFormat chart="10" format="5" series="1">
      <pivotArea type="data" outline="0" fieldPosition="0">
        <references count="1">
          <reference field="4294967294" count="1" selected="0">
            <x v="0"/>
          </reference>
        </references>
      </pivotArea>
    </chartFormat>
    <chartFormat chart="16" format="0" series="1">
      <pivotArea type="data" outline="0" fieldPosition="0">
        <references count="2">
          <reference field="4294967294" count="1" selected="0">
            <x v="0"/>
          </reference>
          <reference field="2" count="1" selected="0">
            <x v="2"/>
          </reference>
        </references>
      </pivotArea>
    </chartFormat>
    <chartFormat chart="16" format="1">
      <pivotArea type="data" outline="0" fieldPosition="0">
        <references count="3">
          <reference field="4294967294" count="1" selected="0">
            <x v="0"/>
          </reference>
          <reference field="1" count="1" selected="0">
            <x v="0"/>
          </reference>
          <reference field="2" count="1" selected="0">
            <x v="2"/>
          </reference>
        </references>
      </pivotArea>
    </chartFormat>
    <chartFormat chart="16" format="2">
      <pivotArea type="data" outline="0" fieldPosition="0">
        <references count="3">
          <reference field="4294967294" count="1" selected="0">
            <x v="0"/>
          </reference>
          <reference field="1" count="1" selected="0">
            <x v="1"/>
          </reference>
          <reference field="2" count="1" selected="0">
            <x v="2"/>
          </reference>
        </references>
      </pivotArea>
    </chartFormat>
    <chartFormat chart="16" format="3">
      <pivotArea type="data" outline="0" fieldPosition="0">
        <references count="3">
          <reference field="4294967294" count="1" selected="0">
            <x v="0"/>
          </reference>
          <reference field="1" count="1" selected="0">
            <x v="2"/>
          </reference>
          <reference field="2" count="1" selected="0">
            <x v="2"/>
          </reference>
        </references>
      </pivotArea>
    </chartFormat>
    <chartFormat chart="16" format="4">
      <pivotArea type="data" outline="0" fieldPosition="0">
        <references count="3">
          <reference field="4294967294" count="1" selected="0">
            <x v="0"/>
          </reference>
          <reference field="1" count="1" selected="0">
            <x v="3"/>
          </reference>
          <reference field="2" count="1" selected="0">
            <x v="2"/>
          </reference>
        </references>
      </pivotArea>
    </chartFormat>
    <chartFormat chart="16" format="5">
      <pivotArea type="data" outline="0" fieldPosition="0">
        <references count="3">
          <reference field="4294967294" count="1" selected="0">
            <x v="0"/>
          </reference>
          <reference field="1" count="1" selected="0">
            <x v="4"/>
          </reference>
          <reference field="2" count="1" selected="0">
            <x v="2"/>
          </reference>
        </references>
      </pivotArea>
    </chartFormat>
    <chartFormat chart="16" format="6">
      <pivotArea type="data" outline="0" fieldPosition="0">
        <references count="3">
          <reference field="4294967294" count="1" selected="0">
            <x v="0"/>
          </reference>
          <reference field="1" count="1" selected="0">
            <x v="5"/>
          </reference>
          <reference field="2" count="1" selected="0">
            <x v="2"/>
          </reference>
        </references>
      </pivotArea>
    </chartFormat>
    <chartFormat chart="16" format="7">
      <pivotArea type="data" outline="0" fieldPosition="0">
        <references count="3">
          <reference field="4294967294" count="1" selected="0">
            <x v="0"/>
          </reference>
          <reference field="1" count="1" selected="0">
            <x v="6"/>
          </reference>
          <reference field="2" count="1" selected="0">
            <x v="2"/>
          </reference>
        </references>
      </pivotArea>
    </chartFormat>
    <chartFormat chart="16" format="8">
      <pivotArea type="data" outline="0" fieldPosition="0">
        <references count="3">
          <reference field="4294967294" count="1" selected="0">
            <x v="0"/>
          </reference>
          <reference field="1" count="1" selected="0">
            <x v="7"/>
          </reference>
          <reference field="2" count="1" selected="0">
            <x v="2"/>
          </reference>
        </references>
      </pivotArea>
    </chartFormat>
    <chartFormat chart="16" format="9">
      <pivotArea type="data" outline="0" fieldPosition="0">
        <references count="3">
          <reference field="4294967294" count="1" selected="0">
            <x v="0"/>
          </reference>
          <reference field="1" count="1" selected="0">
            <x v="8"/>
          </reference>
          <reference field="2" count="1" selected="0">
            <x v="2"/>
          </reference>
        </references>
      </pivotArea>
    </chartFormat>
    <chartFormat chart="16" format="10">
      <pivotArea type="data" outline="0" fieldPosition="0">
        <references count="3">
          <reference field="4294967294" count="1" selected="0">
            <x v="0"/>
          </reference>
          <reference field="1" count="1" selected="0">
            <x v="9"/>
          </reference>
          <reference field="2" count="1" selected="0">
            <x v="2"/>
          </reference>
        </references>
      </pivotArea>
    </chartFormat>
    <chartFormat chart="16" format="11">
      <pivotArea type="data" outline="0" fieldPosition="0">
        <references count="3">
          <reference field="4294967294" count="1" selected="0">
            <x v="0"/>
          </reference>
          <reference field="1" count="1" selected="0">
            <x v="10"/>
          </reference>
          <reference field="2" count="1" selected="0">
            <x v="2"/>
          </reference>
        </references>
      </pivotArea>
    </chartFormat>
    <chartFormat chart="16" format="12">
      <pivotArea type="data" outline="0" fieldPosition="0">
        <references count="3">
          <reference field="4294967294" count="1" selected="0">
            <x v="0"/>
          </reference>
          <reference field="1" count="1" selected="0">
            <x v="11"/>
          </reference>
          <reference field="2" count="1" selected="0">
            <x v="2"/>
          </reference>
        </references>
      </pivotArea>
    </chartFormat>
    <chartFormat chart="22" format="26" series="1">
      <pivotArea type="data" outline="0" fieldPosition="0">
        <references count="2">
          <reference field="4294967294" count="1" selected="0">
            <x v="0"/>
          </reference>
          <reference field="2" count="1" selected="0">
            <x v="2"/>
          </reference>
        </references>
      </pivotArea>
    </chartFormat>
    <chartFormat chart="22" format="27">
      <pivotArea type="data" outline="0" fieldPosition="0">
        <references count="3">
          <reference field="4294967294" count="1" selected="0">
            <x v="0"/>
          </reference>
          <reference field="1" count="1" selected="0">
            <x v="0"/>
          </reference>
          <reference field="2" count="1" selected="0">
            <x v="2"/>
          </reference>
        </references>
      </pivotArea>
    </chartFormat>
    <chartFormat chart="22" format="28">
      <pivotArea type="data" outline="0" fieldPosition="0">
        <references count="3">
          <reference field="4294967294" count="1" selected="0">
            <x v="0"/>
          </reference>
          <reference field="1" count="1" selected="0">
            <x v="1"/>
          </reference>
          <reference field="2" count="1" selected="0">
            <x v="2"/>
          </reference>
        </references>
      </pivotArea>
    </chartFormat>
    <chartFormat chart="22" format="29">
      <pivotArea type="data" outline="0" fieldPosition="0">
        <references count="3">
          <reference field="4294967294" count="1" selected="0">
            <x v="0"/>
          </reference>
          <reference field="1" count="1" selected="0">
            <x v="2"/>
          </reference>
          <reference field="2" count="1" selected="0">
            <x v="2"/>
          </reference>
        </references>
      </pivotArea>
    </chartFormat>
    <chartFormat chart="22" format="30">
      <pivotArea type="data" outline="0" fieldPosition="0">
        <references count="3">
          <reference field="4294967294" count="1" selected="0">
            <x v="0"/>
          </reference>
          <reference field="1" count="1" selected="0">
            <x v="3"/>
          </reference>
          <reference field="2" count="1" selected="0">
            <x v="2"/>
          </reference>
        </references>
      </pivotArea>
    </chartFormat>
    <chartFormat chart="22" format="31">
      <pivotArea type="data" outline="0" fieldPosition="0">
        <references count="3">
          <reference field="4294967294" count="1" selected="0">
            <x v="0"/>
          </reference>
          <reference field="1" count="1" selected="0">
            <x v="4"/>
          </reference>
          <reference field="2" count="1" selected="0">
            <x v="2"/>
          </reference>
        </references>
      </pivotArea>
    </chartFormat>
    <chartFormat chart="22" format="32">
      <pivotArea type="data" outline="0" fieldPosition="0">
        <references count="3">
          <reference field="4294967294" count="1" selected="0">
            <x v="0"/>
          </reference>
          <reference field="1" count="1" selected="0">
            <x v="5"/>
          </reference>
          <reference field="2" count="1" selected="0">
            <x v="2"/>
          </reference>
        </references>
      </pivotArea>
    </chartFormat>
    <chartFormat chart="22" format="33">
      <pivotArea type="data" outline="0" fieldPosition="0">
        <references count="3">
          <reference field="4294967294" count="1" selected="0">
            <x v="0"/>
          </reference>
          <reference field="1" count="1" selected="0">
            <x v="6"/>
          </reference>
          <reference field="2" count="1" selected="0">
            <x v="2"/>
          </reference>
        </references>
      </pivotArea>
    </chartFormat>
    <chartFormat chart="22" format="34">
      <pivotArea type="data" outline="0" fieldPosition="0">
        <references count="3">
          <reference field="4294967294" count="1" selected="0">
            <x v="0"/>
          </reference>
          <reference field="1" count="1" selected="0">
            <x v="7"/>
          </reference>
          <reference field="2" count="1" selected="0">
            <x v="2"/>
          </reference>
        </references>
      </pivotArea>
    </chartFormat>
    <chartFormat chart="22" format="35">
      <pivotArea type="data" outline="0" fieldPosition="0">
        <references count="3">
          <reference field="4294967294" count="1" selected="0">
            <x v="0"/>
          </reference>
          <reference field="1" count="1" selected="0">
            <x v="8"/>
          </reference>
          <reference field="2" count="1" selected="0">
            <x v="2"/>
          </reference>
        </references>
      </pivotArea>
    </chartFormat>
    <chartFormat chart="22" format="36">
      <pivotArea type="data" outline="0" fieldPosition="0">
        <references count="3">
          <reference field="4294967294" count="1" selected="0">
            <x v="0"/>
          </reference>
          <reference field="1" count="1" selected="0">
            <x v="9"/>
          </reference>
          <reference field="2" count="1" selected="0">
            <x v="2"/>
          </reference>
        </references>
      </pivotArea>
    </chartFormat>
    <chartFormat chart="22" format="37">
      <pivotArea type="data" outline="0" fieldPosition="0">
        <references count="3">
          <reference field="4294967294" count="1" selected="0">
            <x v="0"/>
          </reference>
          <reference field="1" count="1" selected="0">
            <x v="10"/>
          </reference>
          <reference field="2" count="1" selected="0">
            <x v="2"/>
          </reference>
        </references>
      </pivotArea>
    </chartFormat>
    <chartFormat chart="22" format="38">
      <pivotArea type="data" outline="0" fieldPosition="0">
        <references count="3">
          <reference field="4294967294" count="1" selected="0">
            <x v="0"/>
          </reference>
          <reference field="1" count="1" selected="0">
            <x v="11"/>
          </reference>
          <reference field="2" count="1" selected="0">
            <x v="2"/>
          </reference>
        </references>
      </pivotArea>
    </chartFormat>
    <chartFormat chart="23" format="39" series="1">
      <pivotArea type="data" outline="0" fieldPosition="0">
        <references count="2">
          <reference field="4294967294" count="1" selected="0">
            <x v="0"/>
          </reference>
          <reference field="2" count="1" selected="0">
            <x v="2"/>
          </reference>
        </references>
      </pivotArea>
    </chartFormat>
    <chartFormat chart="23" format="40">
      <pivotArea type="data" outline="0" fieldPosition="0">
        <references count="3">
          <reference field="4294967294" count="1" selected="0">
            <x v="0"/>
          </reference>
          <reference field="1" count="1" selected="0">
            <x v="0"/>
          </reference>
          <reference field="2" count="1" selected="0">
            <x v="2"/>
          </reference>
        </references>
      </pivotArea>
    </chartFormat>
    <chartFormat chart="23" format="41">
      <pivotArea type="data" outline="0" fieldPosition="0">
        <references count="3">
          <reference field="4294967294" count="1" selected="0">
            <x v="0"/>
          </reference>
          <reference field="1" count="1" selected="0">
            <x v="1"/>
          </reference>
          <reference field="2" count="1" selected="0">
            <x v="2"/>
          </reference>
        </references>
      </pivotArea>
    </chartFormat>
    <chartFormat chart="23" format="42">
      <pivotArea type="data" outline="0" fieldPosition="0">
        <references count="3">
          <reference field="4294967294" count="1" selected="0">
            <x v="0"/>
          </reference>
          <reference field="1" count="1" selected="0">
            <x v="2"/>
          </reference>
          <reference field="2" count="1" selected="0">
            <x v="2"/>
          </reference>
        </references>
      </pivotArea>
    </chartFormat>
    <chartFormat chart="23" format="43">
      <pivotArea type="data" outline="0" fieldPosition="0">
        <references count="3">
          <reference field="4294967294" count="1" selected="0">
            <x v="0"/>
          </reference>
          <reference field="1" count="1" selected="0">
            <x v="3"/>
          </reference>
          <reference field="2" count="1" selected="0">
            <x v="2"/>
          </reference>
        </references>
      </pivotArea>
    </chartFormat>
    <chartFormat chart="23" format="44">
      <pivotArea type="data" outline="0" fieldPosition="0">
        <references count="3">
          <reference field="4294967294" count="1" selected="0">
            <x v="0"/>
          </reference>
          <reference field="1" count="1" selected="0">
            <x v="4"/>
          </reference>
          <reference field="2" count="1" selected="0">
            <x v="2"/>
          </reference>
        </references>
      </pivotArea>
    </chartFormat>
    <chartFormat chart="23" format="45">
      <pivotArea type="data" outline="0" fieldPosition="0">
        <references count="3">
          <reference field="4294967294" count="1" selected="0">
            <x v="0"/>
          </reference>
          <reference field="1" count="1" selected="0">
            <x v="5"/>
          </reference>
          <reference field="2" count="1" selected="0">
            <x v="2"/>
          </reference>
        </references>
      </pivotArea>
    </chartFormat>
    <chartFormat chart="23" format="46">
      <pivotArea type="data" outline="0" fieldPosition="0">
        <references count="3">
          <reference field="4294967294" count="1" selected="0">
            <x v="0"/>
          </reference>
          <reference field="1" count="1" selected="0">
            <x v="6"/>
          </reference>
          <reference field="2" count="1" selected="0">
            <x v="2"/>
          </reference>
        </references>
      </pivotArea>
    </chartFormat>
    <chartFormat chart="23" format="47">
      <pivotArea type="data" outline="0" fieldPosition="0">
        <references count="3">
          <reference field="4294967294" count="1" selected="0">
            <x v="0"/>
          </reference>
          <reference field="1" count="1" selected="0">
            <x v="7"/>
          </reference>
          <reference field="2" count="1" selected="0">
            <x v="2"/>
          </reference>
        </references>
      </pivotArea>
    </chartFormat>
    <chartFormat chart="23" format="48">
      <pivotArea type="data" outline="0" fieldPosition="0">
        <references count="3">
          <reference field="4294967294" count="1" selected="0">
            <x v="0"/>
          </reference>
          <reference field="1" count="1" selected="0">
            <x v="8"/>
          </reference>
          <reference field="2" count="1" selected="0">
            <x v="2"/>
          </reference>
        </references>
      </pivotArea>
    </chartFormat>
    <chartFormat chart="23" format="49">
      <pivotArea type="data" outline="0" fieldPosition="0">
        <references count="3">
          <reference field="4294967294" count="1" selected="0">
            <x v="0"/>
          </reference>
          <reference field="1" count="1" selected="0">
            <x v="9"/>
          </reference>
          <reference field="2" count="1" selected="0">
            <x v="2"/>
          </reference>
        </references>
      </pivotArea>
    </chartFormat>
    <chartFormat chart="23" format="50">
      <pivotArea type="data" outline="0" fieldPosition="0">
        <references count="3">
          <reference field="4294967294" count="1" selected="0">
            <x v="0"/>
          </reference>
          <reference field="1" count="1" selected="0">
            <x v="10"/>
          </reference>
          <reference field="2" count="1" selected="0">
            <x v="2"/>
          </reference>
        </references>
      </pivotArea>
    </chartFormat>
    <chartFormat chart="23" format="51">
      <pivotArea type="data" outline="0" fieldPosition="0">
        <references count="3">
          <reference field="4294967294" count="1" selected="0">
            <x v="0"/>
          </reference>
          <reference field="1" count="1" selected="0">
            <x v="11"/>
          </reference>
          <reference field="2" count="1" selected="0">
            <x v="2"/>
          </reference>
        </references>
      </pivotArea>
    </chartFormat>
    <chartFormat chart="24" format="52" series="1">
      <pivotArea type="data" outline="0" fieldPosition="0">
        <references count="2">
          <reference field="4294967294" count="1" selected="0">
            <x v="0"/>
          </reference>
          <reference field="2" count="1" selected="0">
            <x v="2"/>
          </reference>
        </references>
      </pivotArea>
    </chartFormat>
    <chartFormat chart="24" format="53">
      <pivotArea type="data" outline="0" fieldPosition="0">
        <references count="3">
          <reference field="4294967294" count="1" selected="0">
            <x v="0"/>
          </reference>
          <reference field="1" count="1" selected="0">
            <x v="0"/>
          </reference>
          <reference field="2" count="1" selected="0">
            <x v="2"/>
          </reference>
        </references>
      </pivotArea>
    </chartFormat>
    <chartFormat chart="24" format="54">
      <pivotArea type="data" outline="0" fieldPosition="0">
        <references count="3">
          <reference field="4294967294" count="1" selected="0">
            <x v="0"/>
          </reference>
          <reference field="1" count="1" selected="0">
            <x v="1"/>
          </reference>
          <reference field="2" count="1" selected="0">
            <x v="2"/>
          </reference>
        </references>
      </pivotArea>
    </chartFormat>
    <chartFormat chart="24" format="55">
      <pivotArea type="data" outline="0" fieldPosition="0">
        <references count="3">
          <reference field="4294967294" count="1" selected="0">
            <x v="0"/>
          </reference>
          <reference field="1" count="1" selected="0">
            <x v="2"/>
          </reference>
          <reference field="2" count="1" selected="0">
            <x v="2"/>
          </reference>
        </references>
      </pivotArea>
    </chartFormat>
    <chartFormat chart="24" format="56">
      <pivotArea type="data" outline="0" fieldPosition="0">
        <references count="3">
          <reference field="4294967294" count="1" selected="0">
            <x v="0"/>
          </reference>
          <reference field="1" count="1" selected="0">
            <x v="3"/>
          </reference>
          <reference field="2" count="1" selected="0">
            <x v="2"/>
          </reference>
        </references>
      </pivotArea>
    </chartFormat>
    <chartFormat chart="24" format="57">
      <pivotArea type="data" outline="0" fieldPosition="0">
        <references count="3">
          <reference field="4294967294" count="1" selected="0">
            <x v="0"/>
          </reference>
          <reference field="1" count="1" selected="0">
            <x v="4"/>
          </reference>
          <reference field="2" count="1" selected="0">
            <x v="2"/>
          </reference>
        </references>
      </pivotArea>
    </chartFormat>
    <chartFormat chart="24" format="58">
      <pivotArea type="data" outline="0" fieldPosition="0">
        <references count="3">
          <reference field="4294967294" count="1" selected="0">
            <x v="0"/>
          </reference>
          <reference field="1" count="1" selected="0">
            <x v="5"/>
          </reference>
          <reference field="2" count="1" selected="0">
            <x v="2"/>
          </reference>
        </references>
      </pivotArea>
    </chartFormat>
    <chartFormat chart="24" format="59">
      <pivotArea type="data" outline="0" fieldPosition="0">
        <references count="3">
          <reference field="4294967294" count="1" selected="0">
            <x v="0"/>
          </reference>
          <reference field="1" count="1" selected="0">
            <x v="6"/>
          </reference>
          <reference field="2" count="1" selected="0">
            <x v="2"/>
          </reference>
        </references>
      </pivotArea>
    </chartFormat>
    <chartFormat chart="24" format="60">
      <pivotArea type="data" outline="0" fieldPosition="0">
        <references count="3">
          <reference field="4294967294" count="1" selected="0">
            <x v="0"/>
          </reference>
          <reference field="1" count="1" selected="0">
            <x v="7"/>
          </reference>
          <reference field="2" count="1" selected="0">
            <x v="2"/>
          </reference>
        </references>
      </pivotArea>
    </chartFormat>
    <chartFormat chart="24" format="61">
      <pivotArea type="data" outline="0" fieldPosition="0">
        <references count="3">
          <reference field="4294967294" count="1" selected="0">
            <x v="0"/>
          </reference>
          <reference field="1" count="1" selected="0">
            <x v="8"/>
          </reference>
          <reference field="2" count="1" selected="0">
            <x v="2"/>
          </reference>
        </references>
      </pivotArea>
    </chartFormat>
    <chartFormat chart="24" format="62">
      <pivotArea type="data" outline="0" fieldPosition="0">
        <references count="3">
          <reference field="4294967294" count="1" selected="0">
            <x v="0"/>
          </reference>
          <reference field="1" count="1" selected="0">
            <x v="9"/>
          </reference>
          <reference field="2" count="1" selected="0">
            <x v="2"/>
          </reference>
        </references>
      </pivotArea>
    </chartFormat>
    <chartFormat chart="24" format="63">
      <pivotArea type="data" outline="0" fieldPosition="0">
        <references count="3">
          <reference field="4294967294" count="1" selected="0">
            <x v="0"/>
          </reference>
          <reference field="1" count="1" selected="0">
            <x v="10"/>
          </reference>
          <reference field="2" count="1" selected="0">
            <x v="2"/>
          </reference>
        </references>
      </pivotArea>
    </chartFormat>
    <chartFormat chart="24" format="64">
      <pivotArea type="data" outline="0" fieldPosition="0">
        <references count="3">
          <reference field="4294967294" count="1" selected="0">
            <x v="0"/>
          </reference>
          <reference field="1" count="1" selected="0">
            <x v="1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DBF0ED-AA21-46ED-B03D-DD8F754F5BF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E16" firstHeaderRow="1" firstDataRow="1" firstDataCol="1"/>
  <pivotFields count="7">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13">
        <item x="0"/>
        <item x="1"/>
        <item x="2"/>
        <item x="3"/>
        <item x="4"/>
        <item x="5"/>
        <item x="6"/>
        <item x="7"/>
        <item x="8"/>
        <item x="9"/>
        <item x="10"/>
        <item x="11"/>
        <item t="default"/>
      </items>
    </pivotField>
    <pivotField showAll="0">
      <items count="6">
        <item x="3"/>
        <item x="1"/>
        <item x="0"/>
        <item x="2"/>
        <item x="4"/>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Actual amount" fld="4" baseField="0" baseItem="0"/>
  </dataFields>
  <chartFormats count="5">
    <chartFormat chart="9"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29A14C-9F51-40D8-828D-F2AE6B155A6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7">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Row" showAll="0">
      <items count="6">
        <item x="3"/>
        <item x="1"/>
        <item x="0"/>
        <item x="2"/>
        <item x="4"/>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Actual amount" fld="4" baseField="0" baseItem="0"/>
  </dataFields>
  <chartFormats count="2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3"/>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2" count="1" selected="0">
            <x v="0"/>
          </reference>
        </references>
      </pivotArea>
    </chartFormat>
    <chartFormat chart="12" format="14">
      <pivotArea type="data" outline="0" fieldPosition="0">
        <references count="2">
          <reference field="4294967294" count="1" selected="0">
            <x v="0"/>
          </reference>
          <reference field="2" count="1" selected="0">
            <x v="1"/>
          </reference>
        </references>
      </pivotArea>
    </chartFormat>
    <chartFormat chart="12" format="15">
      <pivotArea type="data" outline="0" fieldPosition="0">
        <references count="2">
          <reference field="4294967294" count="1" selected="0">
            <x v="0"/>
          </reference>
          <reference field="2" count="1" selected="0">
            <x v="2"/>
          </reference>
        </references>
      </pivotArea>
    </chartFormat>
    <chartFormat chart="12" format="16">
      <pivotArea type="data" outline="0" fieldPosition="0">
        <references count="2">
          <reference field="4294967294" count="1" selected="0">
            <x v="0"/>
          </reference>
          <reference field="2" count="1" selected="0">
            <x v="3"/>
          </reference>
        </references>
      </pivotArea>
    </chartFormat>
    <chartFormat chart="12" format="17">
      <pivotArea type="data" outline="0" fieldPosition="0">
        <references count="2">
          <reference field="4294967294" count="1" selected="0">
            <x v="0"/>
          </reference>
          <reference field="2" count="1" selected="0">
            <x v="4"/>
          </reference>
        </references>
      </pivotArea>
    </chartFormat>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2" count="1" selected="0">
            <x v="0"/>
          </reference>
        </references>
      </pivotArea>
    </chartFormat>
    <chartFormat chart="13" format="20">
      <pivotArea type="data" outline="0" fieldPosition="0">
        <references count="2">
          <reference field="4294967294" count="1" selected="0">
            <x v="0"/>
          </reference>
          <reference field="2" count="1" selected="0">
            <x v="1"/>
          </reference>
        </references>
      </pivotArea>
    </chartFormat>
    <chartFormat chart="13" format="21">
      <pivotArea type="data" outline="0" fieldPosition="0">
        <references count="2">
          <reference field="4294967294" count="1" selected="0">
            <x v="0"/>
          </reference>
          <reference field="2" count="1" selected="0">
            <x v="2"/>
          </reference>
        </references>
      </pivotArea>
    </chartFormat>
    <chartFormat chart="13" format="22">
      <pivotArea type="data" outline="0" fieldPosition="0">
        <references count="2">
          <reference field="4294967294" count="1" selected="0">
            <x v="0"/>
          </reference>
          <reference field="2" count="1" selected="0">
            <x v="3"/>
          </reference>
        </references>
      </pivotArea>
    </chartFormat>
    <chartFormat chart="13" format="23">
      <pivotArea type="data" outline="0" fieldPosition="0">
        <references count="2">
          <reference field="4294967294" count="1" selected="0">
            <x v="0"/>
          </reference>
          <reference field="2" count="1" selected="0">
            <x v="4"/>
          </reference>
        </references>
      </pivotArea>
    </chartFormat>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2" count="1" selected="0">
            <x v="0"/>
          </reference>
        </references>
      </pivotArea>
    </chartFormat>
    <chartFormat chart="14" format="26">
      <pivotArea type="data" outline="0" fieldPosition="0">
        <references count="2">
          <reference field="4294967294" count="1" selected="0">
            <x v="0"/>
          </reference>
          <reference field="2" count="1" selected="0">
            <x v="1"/>
          </reference>
        </references>
      </pivotArea>
    </chartFormat>
    <chartFormat chart="14" format="27">
      <pivotArea type="data" outline="0" fieldPosition="0">
        <references count="2">
          <reference field="4294967294" count="1" selected="0">
            <x v="0"/>
          </reference>
          <reference field="2" count="1" selected="0">
            <x v="2"/>
          </reference>
        </references>
      </pivotArea>
    </chartFormat>
    <chartFormat chart="14" format="28">
      <pivotArea type="data" outline="0" fieldPosition="0">
        <references count="2">
          <reference field="4294967294" count="1" selected="0">
            <x v="0"/>
          </reference>
          <reference field="2" count="1" selected="0">
            <x v="3"/>
          </reference>
        </references>
      </pivotArea>
    </chartFormat>
    <chartFormat chart="14" format="29">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12A9CF-2D71-492D-A7AD-8A13B02E9557}" sourceName="Category">
  <pivotTables>
    <pivotTable tabId="5" name="PivotTable9"/>
  </pivotTables>
  <data>
    <tabular pivotCacheId="275371121">
      <items count="5">
        <i x="0" s="1"/>
        <i x="3" nd="1"/>
        <i x="1" nd="1"/>
        <i x="2"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44CBFB01-ECC5-4045-869D-F3C3B49D3ED4}" sourceName="Discription">
  <pivotTables>
    <pivotTable tabId="5" name="PivotTable9"/>
  </pivotTables>
  <data>
    <tabular pivotCacheId="275371121">
      <items count="14">
        <i x="0" s="1"/>
        <i x="6" nd="1"/>
        <i x="2" nd="1"/>
        <i x="4" nd="1"/>
        <i x="11" nd="1"/>
        <i x="8" nd="1"/>
        <i x="1" nd="1"/>
        <i x="3" nd="1"/>
        <i x="7" nd="1"/>
        <i x="9" nd="1"/>
        <i x="12" nd="1"/>
        <i x="10" nd="1"/>
        <i x="5"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4744CDF-42CD-45F9-B554-BDF6B334F622}" cache="Slicer_Category" caption="Category" rowHeight="247650"/>
  <slicer name="Discription" xr10:uid="{336BDFDB-F9E0-4796-B837-96ECD7F99305}" cache="Slicer_Discription" caption="Discrip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0965B04-1153-4E51-8091-B45A1926B2FC}" cache="Slicer_Category" caption="Category" rowHeight="247650"/>
  <slicer name="Discription 1" xr10:uid="{0F118235-384F-4247-B158-863FC7234A5E}" cache="Slicer_Discription" caption="Discript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8C5D891D-B438-42F9-8086-1F96F90FFB5E}" cache="Slicer_Category" caption="Category" rowHeight="247650"/>
  <slicer name="Discription 2" xr10:uid="{F88525BD-A577-43A8-AA4B-3DCF161ADF3B}" cache="Slicer_Discription" caption="Discript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E0B06B-453F-4BC1-8F99-9B9627DE15C6}" name="Table1" displayName="Table1" ref="A2:E62" totalsRowShown="0">
  <autoFilter ref="A2:E62" xr:uid="{23E0B06B-453F-4BC1-8F99-9B9627DE15C6}"/>
  <tableColumns count="5">
    <tableColumn id="1" xr3:uid="{527C32FC-CD29-4A6E-A4AF-B255BDF3B9FC}" name="Column1" dataDxfId="0"/>
    <tableColumn id="2" xr3:uid="{D3A8ED1A-3A66-4877-80AB-F6E102246C05}" name="Column2"/>
    <tableColumn id="3" xr3:uid="{ED3DBF7F-9369-4679-92FE-481E69799C55}" name="Column3"/>
    <tableColumn id="4" xr3:uid="{45AD3355-4C7C-4E3F-A939-08B6DD0BE767}" name="Column4"/>
    <tableColumn id="5" xr3:uid="{BB1D06A5-436A-496A-BFB6-A0B22F34C6A1}" name="Column5"/>
  </tableColumns>
  <tableStyleInfo name="TableStyleLight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0EDB-C6C1-4A0B-B73B-06EF48D108EC}">
  <dimension ref="A3:A10"/>
  <sheetViews>
    <sheetView workbookViewId="0">
      <selection activeCell="A4" sqref="A4"/>
    </sheetView>
  </sheetViews>
  <sheetFormatPr defaultRowHeight="13.8" x14ac:dyDescent="0.25"/>
  <cols>
    <col min="1" max="1" width="12.3984375" customWidth="1"/>
    <col min="2" max="2" width="6.296875" customWidth="1"/>
    <col min="3" max="33" width="4.5" bestFit="1" customWidth="1"/>
    <col min="34" max="34" width="5.3984375" bestFit="1" customWidth="1"/>
    <col min="35" max="35" width="7.59765625" bestFit="1" customWidth="1"/>
    <col min="36" max="36" width="9.5" bestFit="1" customWidth="1"/>
  </cols>
  <sheetData>
    <row r="3" spans="1:1" x14ac:dyDescent="0.25">
      <c r="A3" s="8" t="s">
        <v>47</v>
      </c>
    </row>
    <row r="4" spans="1:1" x14ac:dyDescent="0.25">
      <c r="A4" s="9" t="s">
        <v>7</v>
      </c>
    </row>
    <row r="5" spans="1:1" x14ac:dyDescent="0.25">
      <c r="A5" s="9" t="s">
        <v>18</v>
      </c>
    </row>
    <row r="6" spans="1:1" x14ac:dyDescent="0.25">
      <c r="A6" s="9" t="s">
        <v>13</v>
      </c>
    </row>
    <row r="7" spans="1:1" x14ac:dyDescent="0.25">
      <c r="A7" s="9" t="s">
        <v>11</v>
      </c>
    </row>
    <row r="8" spans="1:1" x14ac:dyDescent="0.25">
      <c r="A8" s="9" t="s">
        <v>15</v>
      </c>
    </row>
    <row r="9" spans="1:1" x14ac:dyDescent="0.25">
      <c r="A9" s="9" t="s">
        <v>20</v>
      </c>
    </row>
    <row r="10" spans="1:1" x14ac:dyDescent="0.25">
      <c r="A10" s="9" t="s">
        <v>48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E6261-80C5-47C8-8CBB-827617E27A1E}">
  <dimension ref="A1:H71"/>
  <sheetViews>
    <sheetView workbookViewId="0">
      <selection activeCell="H4" sqref="H4:H30"/>
    </sheetView>
  </sheetViews>
  <sheetFormatPr defaultRowHeight="14.4" x14ac:dyDescent="0.25"/>
  <cols>
    <col min="1" max="1" width="10.296875" customWidth="1"/>
    <col min="2" max="2" width="10" customWidth="1"/>
    <col min="3" max="3" width="13.3984375" customWidth="1"/>
    <col min="4" max="4" width="17.59765625" customWidth="1"/>
    <col min="5" max="5" width="16.69921875" customWidth="1"/>
    <col min="8" max="8" width="32.296875" customWidth="1"/>
  </cols>
  <sheetData>
    <row r="1" spans="1:8" ht="15" x14ac:dyDescent="0.25">
      <c r="A1" s="1" t="s">
        <v>0</v>
      </c>
      <c r="B1" s="2" t="s">
        <v>1</v>
      </c>
      <c r="C1" s="2" t="s">
        <v>2</v>
      </c>
      <c r="D1" s="2" t="s">
        <v>3</v>
      </c>
      <c r="E1" s="2" t="s">
        <v>4</v>
      </c>
      <c r="F1" s="3"/>
    </row>
    <row r="2" spans="1:8" ht="13.8" x14ac:dyDescent="0.25">
      <c r="A2" s="4" t="s">
        <v>5</v>
      </c>
      <c r="B2" t="s">
        <v>6</v>
      </c>
      <c r="C2" t="s">
        <v>7</v>
      </c>
      <c r="D2" t="s">
        <v>8</v>
      </c>
      <c r="E2" t="s">
        <v>9</v>
      </c>
    </row>
    <row r="3" spans="1:8" ht="13.8" x14ac:dyDescent="0.25">
      <c r="A3" s="4">
        <v>45662</v>
      </c>
      <c r="B3" t="s">
        <v>10</v>
      </c>
      <c r="C3" t="s">
        <v>11</v>
      </c>
      <c r="D3" t="s">
        <v>12</v>
      </c>
      <c r="E3">
        <v>12000</v>
      </c>
    </row>
    <row r="4" spans="1:8" ht="13.8" x14ac:dyDescent="0.25">
      <c r="A4" s="4">
        <v>45665</v>
      </c>
      <c r="B4" t="s">
        <v>10</v>
      </c>
      <c r="C4" t="s">
        <v>13</v>
      </c>
      <c r="D4" t="s">
        <v>14</v>
      </c>
      <c r="E4">
        <v>4200</v>
      </c>
    </row>
    <row r="5" spans="1:8" ht="13.8" x14ac:dyDescent="0.25">
      <c r="A5" s="4">
        <v>45669</v>
      </c>
      <c r="B5" t="s">
        <v>10</v>
      </c>
      <c r="C5" t="s">
        <v>15</v>
      </c>
      <c r="D5" t="s">
        <v>16</v>
      </c>
      <c r="E5">
        <v>2800</v>
      </c>
      <c r="H5" s="5" t="s">
        <v>17</v>
      </c>
    </row>
    <row r="6" spans="1:8" ht="13.8" x14ac:dyDescent="0.25">
      <c r="A6" s="4">
        <v>45675</v>
      </c>
      <c r="B6" t="s">
        <v>10</v>
      </c>
      <c r="C6" t="s">
        <v>18</v>
      </c>
      <c r="D6" t="s">
        <v>19</v>
      </c>
      <c r="E6">
        <v>2300</v>
      </c>
      <c r="H6" s="6">
        <f>SUM(E3:E62)</f>
        <v>295000</v>
      </c>
    </row>
    <row r="7" spans="1:8" ht="13.8" x14ac:dyDescent="0.25">
      <c r="A7" s="4">
        <v>45682</v>
      </c>
      <c r="B7" t="s">
        <v>10</v>
      </c>
      <c r="C7" t="s">
        <v>20</v>
      </c>
      <c r="D7" t="s">
        <v>21</v>
      </c>
      <c r="E7">
        <v>2600</v>
      </c>
    </row>
    <row r="8" spans="1:8" ht="13.8" x14ac:dyDescent="0.25">
      <c r="A8" s="4">
        <v>45693</v>
      </c>
      <c r="B8" t="s">
        <v>22</v>
      </c>
      <c r="C8" t="s">
        <v>11</v>
      </c>
      <c r="D8" t="s">
        <v>12</v>
      </c>
      <c r="E8">
        <v>12000</v>
      </c>
    </row>
    <row r="9" spans="1:8" ht="13.8" x14ac:dyDescent="0.25">
      <c r="A9" s="4">
        <v>45697</v>
      </c>
      <c r="B9" t="s">
        <v>22</v>
      </c>
      <c r="C9" t="s">
        <v>13</v>
      </c>
      <c r="D9" t="s">
        <v>14</v>
      </c>
      <c r="E9">
        <v>5100</v>
      </c>
    </row>
    <row r="10" spans="1:8" ht="13.8" x14ac:dyDescent="0.25">
      <c r="A10" s="4">
        <v>45700</v>
      </c>
      <c r="B10" t="s">
        <v>22</v>
      </c>
      <c r="C10" t="s">
        <v>15</v>
      </c>
      <c r="D10" t="s">
        <v>16</v>
      </c>
      <c r="E10">
        <v>3200</v>
      </c>
      <c r="H10" s="2" t="s">
        <v>23</v>
      </c>
    </row>
    <row r="11" spans="1:8" ht="13.8" x14ac:dyDescent="0.25">
      <c r="A11" s="4">
        <v>45706</v>
      </c>
      <c r="B11" t="s">
        <v>22</v>
      </c>
      <c r="C11" t="s">
        <v>18</v>
      </c>
      <c r="D11" t="s">
        <v>19</v>
      </c>
      <c r="E11">
        <v>1900</v>
      </c>
      <c r="H11" s="6">
        <f>SUMIF(C:C,"food",E:E)</f>
        <v>55800</v>
      </c>
    </row>
    <row r="12" spans="1:8" ht="13.8" x14ac:dyDescent="0.25">
      <c r="A12" s="4">
        <v>45712</v>
      </c>
      <c r="B12" t="s">
        <v>22</v>
      </c>
      <c r="C12" t="s">
        <v>20</v>
      </c>
      <c r="D12" t="s">
        <v>24</v>
      </c>
      <c r="E12">
        <v>2400</v>
      </c>
    </row>
    <row r="13" spans="1:8" ht="13.8" x14ac:dyDescent="0.25">
      <c r="A13" s="4">
        <v>45721</v>
      </c>
      <c r="B13" t="s">
        <v>25</v>
      </c>
      <c r="C13" t="s">
        <v>11</v>
      </c>
      <c r="D13" t="s">
        <v>12</v>
      </c>
      <c r="E13">
        <v>12000</v>
      </c>
    </row>
    <row r="14" spans="1:8" ht="13.8" x14ac:dyDescent="0.25">
      <c r="A14" s="4">
        <v>45724</v>
      </c>
      <c r="B14" t="s">
        <v>25</v>
      </c>
      <c r="C14" t="s">
        <v>13</v>
      </c>
      <c r="D14" t="s">
        <v>14</v>
      </c>
      <c r="E14">
        <v>3900</v>
      </c>
      <c r="H14" s="2" t="s">
        <v>26</v>
      </c>
    </row>
    <row r="15" spans="1:8" ht="13.8" x14ac:dyDescent="0.25">
      <c r="A15" s="4">
        <v>45730</v>
      </c>
      <c r="B15" t="s">
        <v>25</v>
      </c>
      <c r="C15" t="s">
        <v>15</v>
      </c>
      <c r="D15" t="s">
        <v>27</v>
      </c>
      <c r="E15">
        <v>2600</v>
      </c>
      <c r="H15" s="6">
        <f>AVERAGE(E3:E62)</f>
        <v>4916.666666666667</v>
      </c>
    </row>
    <row r="16" spans="1:8" ht="13.8" x14ac:dyDescent="0.25">
      <c r="A16" s="4">
        <v>45736</v>
      </c>
      <c r="B16" t="s">
        <v>25</v>
      </c>
      <c r="C16" t="s">
        <v>18</v>
      </c>
      <c r="D16" t="s">
        <v>28</v>
      </c>
      <c r="E16">
        <v>1500</v>
      </c>
    </row>
    <row r="17" spans="1:8" ht="13.8" x14ac:dyDescent="0.25">
      <c r="A17" s="4">
        <v>45742</v>
      </c>
      <c r="B17" t="s">
        <v>25</v>
      </c>
      <c r="C17" t="s">
        <v>20</v>
      </c>
      <c r="D17" t="s">
        <v>21</v>
      </c>
      <c r="E17">
        <v>2300</v>
      </c>
    </row>
    <row r="18" spans="1:8" ht="13.8" x14ac:dyDescent="0.25">
      <c r="A18" s="4">
        <v>45752</v>
      </c>
      <c r="B18" t="s">
        <v>29</v>
      </c>
      <c r="C18" t="s">
        <v>11</v>
      </c>
      <c r="D18" t="s">
        <v>12</v>
      </c>
      <c r="E18">
        <v>12000</v>
      </c>
      <c r="H18" s="7" t="s">
        <v>30</v>
      </c>
    </row>
    <row r="19" spans="1:8" ht="13.8" x14ac:dyDescent="0.25">
      <c r="A19" s="4">
        <v>45756</v>
      </c>
      <c r="B19" t="s">
        <v>29</v>
      </c>
      <c r="C19" t="s">
        <v>13</v>
      </c>
      <c r="D19" t="s">
        <v>14</v>
      </c>
      <c r="E19">
        <v>4500</v>
      </c>
      <c r="H19" s="6">
        <f>SUMIF(B:B,"January",E:E)</f>
        <v>23900</v>
      </c>
    </row>
    <row r="20" spans="1:8" ht="13.8" x14ac:dyDescent="0.25">
      <c r="A20" s="4">
        <v>45760</v>
      </c>
      <c r="B20" t="s">
        <v>29</v>
      </c>
      <c r="C20" t="s">
        <v>15</v>
      </c>
      <c r="D20" t="s">
        <v>31</v>
      </c>
      <c r="E20">
        <v>3000</v>
      </c>
    </row>
    <row r="21" spans="1:8" ht="13.8" x14ac:dyDescent="0.25">
      <c r="A21" s="4">
        <v>45766</v>
      </c>
      <c r="B21" t="s">
        <v>29</v>
      </c>
      <c r="C21" t="s">
        <v>18</v>
      </c>
      <c r="D21" t="s">
        <v>19</v>
      </c>
      <c r="E21">
        <v>2200</v>
      </c>
    </row>
    <row r="22" spans="1:8" ht="13.8" x14ac:dyDescent="0.25">
      <c r="A22" s="4">
        <v>45772</v>
      </c>
      <c r="B22" t="s">
        <v>29</v>
      </c>
      <c r="C22" t="s">
        <v>20</v>
      </c>
      <c r="D22" t="s">
        <v>21</v>
      </c>
      <c r="E22">
        <v>2500</v>
      </c>
      <c r="H22" s="7" t="s">
        <v>32</v>
      </c>
    </row>
    <row r="23" spans="1:8" ht="13.8" x14ac:dyDescent="0.25">
      <c r="A23" s="4">
        <v>45782</v>
      </c>
      <c r="B23" t="s">
        <v>33</v>
      </c>
      <c r="C23" t="s">
        <v>11</v>
      </c>
      <c r="D23" t="s">
        <v>12</v>
      </c>
      <c r="E23">
        <v>12000</v>
      </c>
      <c r="H23" s="6">
        <f>SUMIFS(E:E,B:B,"January",C:C,"Food")</f>
        <v>4200</v>
      </c>
    </row>
    <row r="24" spans="1:8" ht="13.8" x14ac:dyDescent="0.25">
      <c r="A24" s="4">
        <v>45785</v>
      </c>
      <c r="B24" t="s">
        <v>33</v>
      </c>
      <c r="C24" t="s">
        <v>13</v>
      </c>
      <c r="D24" t="s">
        <v>14</v>
      </c>
      <c r="E24">
        <v>4800</v>
      </c>
    </row>
    <row r="25" spans="1:8" ht="13.8" x14ac:dyDescent="0.25">
      <c r="A25" s="4">
        <v>45791</v>
      </c>
      <c r="B25" t="s">
        <v>33</v>
      </c>
      <c r="C25" t="s">
        <v>15</v>
      </c>
      <c r="D25" t="s">
        <v>31</v>
      </c>
      <c r="E25">
        <v>2900</v>
      </c>
    </row>
    <row r="26" spans="1:8" ht="13.8" x14ac:dyDescent="0.25">
      <c r="A26" s="4">
        <v>45797</v>
      </c>
      <c r="B26" t="s">
        <v>33</v>
      </c>
      <c r="C26" t="s">
        <v>18</v>
      </c>
      <c r="D26" t="s">
        <v>34</v>
      </c>
      <c r="E26">
        <v>2100</v>
      </c>
    </row>
    <row r="27" spans="1:8" ht="13.8" x14ac:dyDescent="0.25">
      <c r="A27" s="4">
        <v>45803</v>
      </c>
      <c r="B27" t="s">
        <v>33</v>
      </c>
      <c r="C27" t="s">
        <v>20</v>
      </c>
      <c r="D27" t="s">
        <v>21</v>
      </c>
      <c r="E27">
        <v>2600</v>
      </c>
    </row>
    <row r="28" spans="1:8" ht="13.8" x14ac:dyDescent="0.25">
      <c r="A28" s="4">
        <v>45813</v>
      </c>
      <c r="B28" t="s">
        <v>35</v>
      </c>
      <c r="C28" t="s">
        <v>11</v>
      </c>
      <c r="D28" t="s">
        <v>12</v>
      </c>
      <c r="E28">
        <v>12000</v>
      </c>
      <c r="H28" s="7" t="s">
        <v>36</v>
      </c>
    </row>
    <row r="29" spans="1:8" ht="13.8" x14ac:dyDescent="0.25">
      <c r="A29" s="4">
        <v>45817</v>
      </c>
      <c r="B29" t="s">
        <v>35</v>
      </c>
      <c r="C29" t="s">
        <v>13</v>
      </c>
      <c r="D29" t="s">
        <v>14</v>
      </c>
      <c r="E29">
        <v>5200</v>
      </c>
      <c r="H29" s="6">
        <f>AVERAGEIF(B:B,"January",E:E)</f>
        <v>4780</v>
      </c>
    </row>
    <row r="30" spans="1:8" ht="13.8" x14ac:dyDescent="0.25">
      <c r="A30" s="4">
        <v>45821</v>
      </c>
      <c r="B30" t="s">
        <v>35</v>
      </c>
      <c r="C30" t="s">
        <v>15</v>
      </c>
      <c r="D30" t="s">
        <v>31</v>
      </c>
      <c r="E30">
        <v>3300</v>
      </c>
    </row>
    <row r="31" spans="1:8" ht="13.8" x14ac:dyDescent="0.25">
      <c r="A31" s="4">
        <v>45826</v>
      </c>
      <c r="B31" t="s">
        <v>35</v>
      </c>
      <c r="C31" t="s">
        <v>18</v>
      </c>
      <c r="D31" t="s">
        <v>37</v>
      </c>
      <c r="E31">
        <v>2800</v>
      </c>
    </row>
    <row r="32" spans="1:8" ht="13.8" x14ac:dyDescent="0.25">
      <c r="A32" s="4">
        <v>45833</v>
      </c>
      <c r="B32" t="s">
        <v>35</v>
      </c>
      <c r="C32" t="s">
        <v>20</v>
      </c>
      <c r="D32" t="s">
        <v>21</v>
      </c>
      <c r="E32">
        <v>2700</v>
      </c>
    </row>
    <row r="33" spans="1:5" ht="13.8" x14ac:dyDescent="0.25">
      <c r="A33" s="4">
        <v>45843</v>
      </c>
      <c r="B33" t="s">
        <v>38</v>
      </c>
      <c r="C33" t="s">
        <v>11</v>
      </c>
      <c r="D33" t="s">
        <v>12</v>
      </c>
      <c r="E33">
        <v>12000</v>
      </c>
    </row>
    <row r="34" spans="1:5" ht="13.8" x14ac:dyDescent="0.25">
      <c r="A34" s="4">
        <v>45846</v>
      </c>
      <c r="B34" t="s">
        <v>38</v>
      </c>
      <c r="C34" t="s">
        <v>13</v>
      </c>
      <c r="D34" t="s">
        <v>14</v>
      </c>
      <c r="E34">
        <v>4100</v>
      </c>
    </row>
    <row r="35" spans="1:5" ht="13.8" x14ac:dyDescent="0.25">
      <c r="A35" s="4">
        <v>45850</v>
      </c>
      <c r="B35" t="s">
        <v>38</v>
      </c>
      <c r="C35" t="s">
        <v>15</v>
      </c>
      <c r="D35" t="s">
        <v>27</v>
      </c>
      <c r="E35">
        <v>2600</v>
      </c>
    </row>
    <row r="36" spans="1:5" ht="13.8" x14ac:dyDescent="0.25">
      <c r="A36" s="4">
        <v>45857</v>
      </c>
      <c r="B36" t="s">
        <v>38</v>
      </c>
      <c r="C36" t="s">
        <v>18</v>
      </c>
      <c r="D36" t="s">
        <v>19</v>
      </c>
      <c r="E36">
        <v>1800</v>
      </c>
    </row>
    <row r="37" spans="1:5" ht="13.8" x14ac:dyDescent="0.25">
      <c r="A37" s="4">
        <v>45864</v>
      </c>
      <c r="B37" t="s">
        <v>38</v>
      </c>
      <c r="C37" t="s">
        <v>20</v>
      </c>
      <c r="D37" t="s">
        <v>21</v>
      </c>
      <c r="E37">
        <v>2400</v>
      </c>
    </row>
    <row r="38" spans="1:5" ht="13.8" x14ac:dyDescent="0.25">
      <c r="A38" s="4">
        <v>45874</v>
      </c>
      <c r="B38" t="s">
        <v>39</v>
      </c>
      <c r="C38" t="s">
        <v>11</v>
      </c>
      <c r="D38" t="s">
        <v>12</v>
      </c>
      <c r="E38">
        <v>12000</v>
      </c>
    </row>
    <row r="39" spans="1:5" ht="13.8" x14ac:dyDescent="0.25">
      <c r="A39" s="4">
        <v>45878</v>
      </c>
      <c r="B39" t="s">
        <v>39</v>
      </c>
      <c r="C39" t="s">
        <v>13</v>
      </c>
      <c r="D39" t="s">
        <v>14</v>
      </c>
      <c r="E39">
        <v>4700</v>
      </c>
    </row>
    <row r="40" spans="1:5" ht="13.8" x14ac:dyDescent="0.25">
      <c r="A40" s="4">
        <v>45883</v>
      </c>
      <c r="B40" t="s">
        <v>39</v>
      </c>
      <c r="C40" t="s">
        <v>15</v>
      </c>
      <c r="D40" t="s">
        <v>31</v>
      </c>
      <c r="E40">
        <v>3100</v>
      </c>
    </row>
    <row r="41" spans="1:5" ht="13.8" x14ac:dyDescent="0.25">
      <c r="A41" s="4">
        <v>45889</v>
      </c>
      <c r="B41" t="s">
        <v>39</v>
      </c>
      <c r="C41" t="s">
        <v>18</v>
      </c>
      <c r="D41" t="s">
        <v>34</v>
      </c>
      <c r="E41">
        <v>2200</v>
      </c>
    </row>
    <row r="42" spans="1:5" ht="13.8" x14ac:dyDescent="0.25">
      <c r="A42" s="4">
        <v>45895</v>
      </c>
      <c r="B42" t="s">
        <v>39</v>
      </c>
      <c r="C42" t="s">
        <v>20</v>
      </c>
      <c r="D42" t="s">
        <v>21</v>
      </c>
      <c r="E42">
        <v>2500</v>
      </c>
    </row>
    <row r="43" spans="1:5" ht="13.8" x14ac:dyDescent="0.25">
      <c r="A43" s="4">
        <v>45905</v>
      </c>
      <c r="B43" t="s">
        <v>40</v>
      </c>
      <c r="C43" t="s">
        <v>11</v>
      </c>
      <c r="D43" t="s">
        <v>12</v>
      </c>
      <c r="E43">
        <v>12000</v>
      </c>
    </row>
    <row r="44" spans="1:5" ht="13.8" x14ac:dyDescent="0.25">
      <c r="A44" s="4">
        <v>45908</v>
      </c>
      <c r="B44" t="s">
        <v>40</v>
      </c>
      <c r="C44" t="s">
        <v>13</v>
      </c>
      <c r="D44" t="s">
        <v>14</v>
      </c>
      <c r="E44">
        <v>4300</v>
      </c>
    </row>
    <row r="45" spans="1:5" ht="13.8" x14ac:dyDescent="0.25">
      <c r="A45" s="4">
        <v>45913</v>
      </c>
      <c r="B45" t="s">
        <v>40</v>
      </c>
      <c r="C45" t="s">
        <v>15</v>
      </c>
      <c r="D45" t="s">
        <v>27</v>
      </c>
      <c r="E45">
        <v>2700</v>
      </c>
    </row>
    <row r="46" spans="1:5" ht="13.8" x14ac:dyDescent="0.25">
      <c r="A46" s="4">
        <v>45918</v>
      </c>
      <c r="B46" t="s">
        <v>40</v>
      </c>
      <c r="C46" t="s">
        <v>18</v>
      </c>
      <c r="D46" t="s">
        <v>28</v>
      </c>
      <c r="E46">
        <v>2000</v>
      </c>
    </row>
    <row r="47" spans="1:5" ht="13.8" x14ac:dyDescent="0.25">
      <c r="A47" s="4">
        <v>45925</v>
      </c>
      <c r="B47" t="s">
        <v>40</v>
      </c>
      <c r="C47" t="s">
        <v>20</v>
      </c>
      <c r="D47" t="s">
        <v>21</v>
      </c>
      <c r="E47">
        <v>2400</v>
      </c>
    </row>
    <row r="48" spans="1:5" ht="13.8" x14ac:dyDescent="0.25">
      <c r="A48" s="4">
        <v>45935</v>
      </c>
      <c r="B48" t="s">
        <v>41</v>
      </c>
      <c r="C48" t="s">
        <v>11</v>
      </c>
      <c r="D48" t="s">
        <v>12</v>
      </c>
      <c r="E48">
        <v>12000</v>
      </c>
    </row>
    <row r="49" spans="1:5" ht="13.8" x14ac:dyDescent="0.25">
      <c r="A49" s="4">
        <v>45939</v>
      </c>
      <c r="B49" t="s">
        <v>41</v>
      </c>
      <c r="C49" t="s">
        <v>13</v>
      </c>
      <c r="D49" t="s">
        <v>14</v>
      </c>
      <c r="E49">
        <v>5000</v>
      </c>
    </row>
    <row r="50" spans="1:5" ht="13.8" x14ac:dyDescent="0.25">
      <c r="A50" s="4">
        <v>45944</v>
      </c>
      <c r="B50" t="s">
        <v>41</v>
      </c>
      <c r="C50" t="s">
        <v>15</v>
      </c>
      <c r="D50" t="s">
        <v>31</v>
      </c>
      <c r="E50">
        <v>3200</v>
      </c>
    </row>
    <row r="51" spans="1:5" ht="13.8" x14ac:dyDescent="0.25">
      <c r="A51" s="4">
        <v>45950</v>
      </c>
      <c r="B51" t="s">
        <v>41</v>
      </c>
      <c r="C51" t="s">
        <v>18</v>
      </c>
      <c r="D51" t="s">
        <v>42</v>
      </c>
      <c r="E51">
        <v>3500</v>
      </c>
    </row>
    <row r="52" spans="1:5" ht="13.8" x14ac:dyDescent="0.25">
      <c r="A52" s="4">
        <v>45956</v>
      </c>
      <c r="B52" t="s">
        <v>41</v>
      </c>
      <c r="C52" t="s">
        <v>20</v>
      </c>
      <c r="D52" t="s">
        <v>21</v>
      </c>
      <c r="E52">
        <v>2800</v>
      </c>
    </row>
    <row r="53" spans="1:5" ht="13.8" x14ac:dyDescent="0.25">
      <c r="A53" s="4">
        <v>45966</v>
      </c>
      <c r="B53" t="s">
        <v>43</v>
      </c>
      <c r="C53" t="s">
        <v>11</v>
      </c>
      <c r="D53" t="s">
        <v>12</v>
      </c>
      <c r="E53">
        <v>12000</v>
      </c>
    </row>
    <row r="54" spans="1:5" ht="13.8" x14ac:dyDescent="0.25">
      <c r="A54" s="4">
        <v>45969</v>
      </c>
      <c r="B54" t="s">
        <v>43</v>
      </c>
      <c r="C54" t="s">
        <v>13</v>
      </c>
      <c r="D54" t="s">
        <v>14</v>
      </c>
      <c r="E54">
        <v>4600</v>
      </c>
    </row>
    <row r="55" spans="1:5" ht="13.8" x14ac:dyDescent="0.25">
      <c r="A55" s="4">
        <v>45974</v>
      </c>
      <c r="B55" t="s">
        <v>43</v>
      </c>
      <c r="C55" t="s">
        <v>15</v>
      </c>
      <c r="D55" t="s">
        <v>31</v>
      </c>
      <c r="E55">
        <v>3000</v>
      </c>
    </row>
    <row r="56" spans="1:5" ht="13.8" x14ac:dyDescent="0.25">
      <c r="A56" s="4">
        <v>45980</v>
      </c>
      <c r="B56" t="s">
        <v>43</v>
      </c>
      <c r="C56" t="s">
        <v>18</v>
      </c>
      <c r="D56" t="s">
        <v>19</v>
      </c>
      <c r="E56">
        <v>2100</v>
      </c>
    </row>
    <row r="57" spans="1:5" ht="13.8" x14ac:dyDescent="0.25">
      <c r="A57" s="4">
        <v>45986</v>
      </c>
      <c r="B57" t="s">
        <v>43</v>
      </c>
      <c r="C57" t="s">
        <v>20</v>
      </c>
      <c r="D57" t="s">
        <v>21</v>
      </c>
      <c r="E57">
        <v>2600</v>
      </c>
    </row>
    <row r="58" spans="1:5" ht="13.8" x14ac:dyDescent="0.25">
      <c r="A58" s="4">
        <v>45996</v>
      </c>
      <c r="B58" t="s">
        <v>44</v>
      </c>
      <c r="C58" t="s">
        <v>11</v>
      </c>
      <c r="D58" t="s">
        <v>12</v>
      </c>
      <c r="E58">
        <v>12000</v>
      </c>
    </row>
    <row r="59" spans="1:5" ht="13.8" x14ac:dyDescent="0.25">
      <c r="A59" s="4">
        <v>46000</v>
      </c>
      <c r="B59" t="s">
        <v>44</v>
      </c>
      <c r="C59" t="s">
        <v>13</v>
      </c>
      <c r="D59" t="s">
        <v>14</v>
      </c>
      <c r="E59">
        <v>5400</v>
      </c>
    </row>
    <row r="60" spans="1:5" ht="13.8" x14ac:dyDescent="0.25">
      <c r="A60" s="4">
        <v>46005</v>
      </c>
      <c r="B60" t="s">
        <v>44</v>
      </c>
      <c r="C60" t="s">
        <v>15</v>
      </c>
      <c r="D60" t="s">
        <v>45</v>
      </c>
      <c r="E60">
        <v>3600</v>
      </c>
    </row>
    <row r="61" spans="1:5" ht="13.8" x14ac:dyDescent="0.25">
      <c r="A61" s="4">
        <v>46011</v>
      </c>
      <c r="B61" t="s">
        <v>44</v>
      </c>
      <c r="C61" t="s">
        <v>18</v>
      </c>
      <c r="D61" t="s">
        <v>46</v>
      </c>
      <c r="E61">
        <v>4000</v>
      </c>
    </row>
    <row r="62" spans="1:5" ht="13.8" x14ac:dyDescent="0.25">
      <c r="A62" s="4">
        <v>46017</v>
      </c>
      <c r="B62" t="s">
        <v>44</v>
      </c>
      <c r="C62" t="s">
        <v>20</v>
      </c>
      <c r="D62" t="s">
        <v>21</v>
      </c>
      <c r="E62">
        <v>3000</v>
      </c>
    </row>
    <row r="63" spans="1:5" ht="13.8" x14ac:dyDescent="0.25">
      <c r="A63" s="4"/>
    </row>
    <row r="64" spans="1:5" ht="13.8" x14ac:dyDescent="0.25">
      <c r="A64" s="4"/>
    </row>
    <row r="65" spans="1:1" ht="13.8" x14ac:dyDescent="0.25">
      <c r="A65" s="4"/>
    </row>
    <row r="66" spans="1:1" ht="13.8" x14ac:dyDescent="0.25">
      <c r="A66" s="4"/>
    </row>
    <row r="67" spans="1:1" ht="13.8" x14ac:dyDescent="0.25">
      <c r="A67" s="4"/>
    </row>
    <row r="68" spans="1:1" ht="13.8" x14ac:dyDescent="0.25">
      <c r="A68" s="4"/>
    </row>
    <row r="69" spans="1:1" ht="13.8" x14ac:dyDescent="0.25">
      <c r="A69" s="4"/>
    </row>
    <row r="70" spans="1:1" ht="13.8" x14ac:dyDescent="0.25">
      <c r="A70" s="4"/>
    </row>
    <row r="71" spans="1:1" ht="13.8" x14ac:dyDescent="0.25">
      <c r="A71" s="4"/>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EEA0E-A30A-4C70-AF35-26B3821F9CED}">
  <dimension ref="A3:I17"/>
  <sheetViews>
    <sheetView zoomScale="65" workbookViewId="0">
      <selection activeCell="B18" sqref="B18"/>
    </sheetView>
  </sheetViews>
  <sheetFormatPr defaultRowHeight="13.8" x14ac:dyDescent="0.25"/>
  <cols>
    <col min="1" max="1" width="12.3984375" customWidth="1"/>
    <col min="2" max="2" width="27.8984375" customWidth="1"/>
    <col min="4" max="4" width="12.3984375" customWidth="1"/>
    <col min="5" max="5" width="27.59765625" customWidth="1"/>
    <col min="7" max="7" width="28.09765625" customWidth="1"/>
    <col min="8" max="8" width="23.296875" customWidth="1"/>
    <col min="9" max="9" width="15.69921875" customWidth="1"/>
    <col min="10" max="10" width="6.8984375" customWidth="1"/>
    <col min="11" max="11" width="8"/>
    <col min="12" max="12" width="6.8984375" bestFit="1" customWidth="1"/>
    <col min="13" max="13" width="17" customWidth="1"/>
  </cols>
  <sheetData>
    <row r="3" spans="1:9" x14ac:dyDescent="0.25">
      <c r="A3" s="8" t="s">
        <v>47</v>
      </c>
      <c r="B3" t="s">
        <v>50</v>
      </c>
      <c r="D3" s="8" t="s">
        <v>47</v>
      </c>
      <c r="E3" t="s">
        <v>50</v>
      </c>
      <c r="G3" s="8" t="s">
        <v>50</v>
      </c>
      <c r="H3" s="8" t="s">
        <v>49</v>
      </c>
    </row>
    <row r="4" spans="1:9" x14ac:dyDescent="0.25">
      <c r="A4" s="9" t="s">
        <v>18</v>
      </c>
      <c r="B4">
        <v>28400</v>
      </c>
      <c r="D4" s="9" t="s">
        <v>10</v>
      </c>
      <c r="E4">
        <v>23900</v>
      </c>
      <c r="G4" s="8" t="s">
        <v>47</v>
      </c>
      <c r="H4" t="s">
        <v>11</v>
      </c>
      <c r="I4" t="s">
        <v>48</v>
      </c>
    </row>
    <row r="5" spans="1:9" x14ac:dyDescent="0.25">
      <c r="A5" s="9" t="s">
        <v>13</v>
      </c>
      <c r="B5">
        <v>55800</v>
      </c>
      <c r="D5" s="9" t="s">
        <v>22</v>
      </c>
      <c r="E5">
        <v>24600</v>
      </c>
      <c r="G5" s="9" t="s">
        <v>10</v>
      </c>
      <c r="H5">
        <v>12000</v>
      </c>
      <c r="I5">
        <v>12000</v>
      </c>
    </row>
    <row r="6" spans="1:9" x14ac:dyDescent="0.25">
      <c r="A6" s="9" t="s">
        <v>11</v>
      </c>
      <c r="B6">
        <v>144000</v>
      </c>
      <c r="D6" s="9" t="s">
        <v>25</v>
      </c>
      <c r="E6">
        <v>22300</v>
      </c>
      <c r="G6" s="9" t="s">
        <v>22</v>
      </c>
      <c r="H6">
        <v>12000</v>
      </c>
      <c r="I6">
        <v>12000</v>
      </c>
    </row>
    <row r="7" spans="1:9" x14ac:dyDescent="0.25">
      <c r="A7" s="9" t="s">
        <v>15</v>
      </c>
      <c r="B7">
        <v>36000</v>
      </c>
      <c r="D7" s="9" t="s">
        <v>29</v>
      </c>
      <c r="E7">
        <v>24200</v>
      </c>
      <c r="G7" s="9" t="s">
        <v>25</v>
      </c>
      <c r="H7">
        <v>12000</v>
      </c>
      <c r="I7">
        <v>12000</v>
      </c>
    </row>
    <row r="8" spans="1:9" x14ac:dyDescent="0.25">
      <c r="A8" s="9" t="s">
        <v>20</v>
      </c>
      <c r="B8">
        <v>30800</v>
      </c>
      <c r="D8" s="9" t="s">
        <v>33</v>
      </c>
      <c r="E8">
        <v>24400</v>
      </c>
      <c r="G8" s="9" t="s">
        <v>29</v>
      </c>
      <c r="H8">
        <v>12000</v>
      </c>
      <c r="I8">
        <v>12000</v>
      </c>
    </row>
    <row r="9" spans="1:9" x14ac:dyDescent="0.25">
      <c r="A9" s="9" t="s">
        <v>48</v>
      </c>
      <c r="B9">
        <v>295000</v>
      </c>
      <c r="D9" s="9" t="s">
        <v>35</v>
      </c>
      <c r="E9">
        <v>26000</v>
      </c>
      <c r="G9" s="9" t="s">
        <v>33</v>
      </c>
      <c r="H9">
        <v>12000</v>
      </c>
      <c r="I9">
        <v>12000</v>
      </c>
    </row>
    <row r="10" spans="1:9" x14ac:dyDescent="0.25">
      <c r="D10" s="9" t="s">
        <v>38</v>
      </c>
      <c r="E10">
        <v>22900</v>
      </c>
      <c r="G10" s="9" t="s">
        <v>35</v>
      </c>
      <c r="H10">
        <v>12000</v>
      </c>
      <c r="I10">
        <v>12000</v>
      </c>
    </row>
    <row r="11" spans="1:9" x14ac:dyDescent="0.25">
      <c r="D11" s="9" t="s">
        <v>39</v>
      </c>
      <c r="E11">
        <v>24500</v>
      </c>
      <c r="G11" s="9" t="s">
        <v>38</v>
      </c>
      <c r="H11">
        <v>12000</v>
      </c>
      <c r="I11">
        <v>12000</v>
      </c>
    </row>
    <row r="12" spans="1:9" x14ac:dyDescent="0.25">
      <c r="D12" s="9" t="s">
        <v>40</v>
      </c>
      <c r="E12">
        <v>23400</v>
      </c>
      <c r="G12" s="9" t="s">
        <v>39</v>
      </c>
      <c r="H12">
        <v>12000</v>
      </c>
      <c r="I12">
        <v>12000</v>
      </c>
    </row>
    <row r="13" spans="1:9" x14ac:dyDescent="0.25">
      <c r="D13" s="9" t="s">
        <v>41</v>
      </c>
      <c r="E13">
        <v>26500</v>
      </c>
      <c r="G13" s="9" t="s">
        <v>40</v>
      </c>
      <c r="H13">
        <v>12000</v>
      </c>
      <c r="I13">
        <v>12000</v>
      </c>
    </row>
    <row r="14" spans="1:9" x14ac:dyDescent="0.25">
      <c r="D14" s="9" t="s">
        <v>43</v>
      </c>
      <c r="E14">
        <v>24300</v>
      </c>
      <c r="G14" s="9" t="s">
        <v>41</v>
      </c>
      <c r="H14">
        <v>12000</v>
      </c>
      <c r="I14">
        <v>12000</v>
      </c>
    </row>
    <row r="15" spans="1:9" x14ac:dyDescent="0.25">
      <c r="D15" s="9" t="s">
        <v>44</v>
      </c>
      <c r="E15">
        <v>28000</v>
      </c>
      <c r="G15" s="9" t="s">
        <v>43</v>
      </c>
      <c r="H15">
        <v>12000</v>
      </c>
      <c r="I15">
        <v>12000</v>
      </c>
    </row>
    <row r="16" spans="1:9" x14ac:dyDescent="0.25">
      <c r="D16" s="9" t="s">
        <v>48</v>
      </c>
      <c r="E16">
        <v>295000</v>
      </c>
      <c r="G16" s="9" t="s">
        <v>44</v>
      </c>
      <c r="H16">
        <v>12000</v>
      </c>
      <c r="I16">
        <v>12000</v>
      </c>
    </row>
    <row r="17" spans="7:9" x14ac:dyDescent="0.25">
      <c r="G17" s="9" t="s">
        <v>48</v>
      </c>
      <c r="H17">
        <v>144000</v>
      </c>
      <c r="I17">
        <v>144000</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D76A-330F-43DC-9847-8BFAEE347A2B}">
  <dimension ref="A1"/>
  <sheetViews>
    <sheetView zoomScale="56" zoomScaleNormal="100" workbookViewId="0">
      <selection activeCell="A19" sqref="A19"/>
    </sheetView>
  </sheetViews>
  <sheetFormatPr defaultRowHeight="13.8" x14ac:dyDescent="0.25"/>
  <cols>
    <col min="1" max="1" width="26.59765625" customWidth="1"/>
    <col min="2" max="2" width="8" customWidth="1"/>
    <col min="3" max="3" width="8"/>
    <col min="4" max="5" width="8" customWidth="1"/>
    <col min="6" max="7" width="8"/>
    <col min="8" max="10" width="8"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977DD-7089-4D26-AA32-451BFC7D5ECE}">
  <dimension ref="A1"/>
  <sheetViews>
    <sheetView tabSelected="1" zoomScale="63" workbookViewId="0">
      <selection sqref="A1:XFD1048576"/>
    </sheetView>
  </sheetViews>
  <sheetFormatPr defaultRowHeight="13.8" x14ac:dyDescent="0.25"/>
  <cols>
    <col min="1" max="16384" width="8.796875" style="10"/>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3BF1-68CC-4DB2-B278-BFFA6256C2DC}">
  <dimension ref="A1:H62"/>
  <sheetViews>
    <sheetView workbookViewId="0">
      <selection activeCell="H9" sqref="H9"/>
    </sheetView>
  </sheetViews>
  <sheetFormatPr defaultRowHeight="14.4" x14ac:dyDescent="0.25"/>
  <cols>
    <col min="1" max="1" width="10.296875" customWidth="1"/>
    <col min="3" max="3" width="14.8984375" customWidth="1"/>
    <col min="4" max="4" width="13.796875" customWidth="1"/>
    <col min="5" max="5" width="18" customWidth="1"/>
    <col min="8" max="8" width="35.8984375" customWidth="1"/>
  </cols>
  <sheetData>
    <row r="1" spans="1:8" ht="15" x14ac:dyDescent="0.25">
      <c r="A1" s="1" t="s">
        <v>0</v>
      </c>
      <c r="B1" s="2" t="s">
        <v>1</v>
      </c>
      <c r="C1" s="2" t="s">
        <v>2</v>
      </c>
      <c r="D1" s="2" t="s">
        <v>3</v>
      </c>
      <c r="E1" s="2" t="s">
        <v>4</v>
      </c>
    </row>
    <row r="2" spans="1:8" ht="13.8" x14ac:dyDescent="0.25">
      <c r="A2" s="4">
        <v>45662</v>
      </c>
      <c r="B2" t="s">
        <v>10</v>
      </c>
      <c r="C2" t="s">
        <v>11</v>
      </c>
      <c r="D2" t="s">
        <v>12</v>
      </c>
      <c r="E2">
        <v>12000</v>
      </c>
    </row>
    <row r="3" spans="1:8" ht="13.8" x14ac:dyDescent="0.25">
      <c r="A3" s="4">
        <v>45665</v>
      </c>
      <c r="B3" t="s">
        <v>10</v>
      </c>
      <c r="C3" t="s">
        <v>13</v>
      </c>
      <c r="D3" t="s">
        <v>14</v>
      </c>
      <c r="E3">
        <v>4200</v>
      </c>
    </row>
    <row r="4" spans="1:8" ht="13.8" x14ac:dyDescent="0.25">
      <c r="A4" s="4">
        <v>45669</v>
      </c>
      <c r="B4" t="s">
        <v>10</v>
      </c>
      <c r="C4" t="s">
        <v>15</v>
      </c>
      <c r="D4" t="s">
        <v>16</v>
      </c>
      <c r="E4">
        <v>2800</v>
      </c>
    </row>
    <row r="5" spans="1:8" ht="13.8" x14ac:dyDescent="0.25">
      <c r="A5" s="4">
        <v>45675</v>
      </c>
      <c r="B5" t="s">
        <v>10</v>
      </c>
      <c r="C5" t="s">
        <v>18</v>
      </c>
      <c r="D5" t="s">
        <v>19</v>
      </c>
      <c r="E5">
        <v>2300</v>
      </c>
    </row>
    <row r="6" spans="1:8" ht="13.8" x14ac:dyDescent="0.25">
      <c r="A6" s="4">
        <v>45682</v>
      </c>
      <c r="B6" t="s">
        <v>10</v>
      </c>
      <c r="C6" t="s">
        <v>20</v>
      </c>
      <c r="D6" t="s">
        <v>21</v>
      </c>
      <c r="E6">
        <v>2600</v>
      </c>
    </row>
    <row r="7" spans="1:8" ht="13.8" x14ac:dyDescent="0.25">
      <c r="A7" s="4">
        <v>45693</v>
      </c>
      <c r="B7" t="s">
        <v>22</v>
      </c>
      <c r="C7" t="s">
        <v>11</v>
      </c>
      <c r="D7" t="s">
        <v>12</v>
      </c>
      <c r="E7">
        <v>12000</v>
      </c>
      <c r="H7" s="5" t="s">
        <v>17</v>
      </c>
    </row>
    <row r="8" spans="1:8" ht="13.8" x14ac:dyDescent="0.25">
      <c r="A8" s="4">
        <v>45697</v>
      </c>
      <c r="B8" t="s">
        <v>22</v>
      </c>
      <c r="C8" t="s">
        <v>13</v>
      </c>
      <c r="D8" t="s">
        <v>14</v>
      </c>
      <c r="E8">
        <v>5100</v>
      </c>
      <c r="H8" s="6">
        <f>SUM(E2:E64)</f>
        <v>295000</v>
      </c>
    </row>
    <row r="9" spans="1:8" ht="13.8" x14ac:dyDescent="0.25">
      <c r="A9" s="4">
        <v>45700</v>
      </c>
      <c r="B9" t="s">
        <v>22</v>
      </c>
      <c r="C9" t="s">
        <v>15</v>
      </c>
      <c r="D9" t="s">
        <v>16</v>
      </c>
      <c r="E9">
        <v>3200</v>
      </c>
    </row>
    <row r="10" spans="1:8" ht="13.8" x14ac:dyDescent="0.25">
      <c r="A10" s="4">
        <v>45706</v>
      </c>
      <c r="B10" t="s">
        <v>22</v>
      </c>
      <c r="C10" t="s">
        <v>18</v>
      </c>
      <c r="D10" t="s">
        <v>19</v>
      </c>
      <c r="E10">
        <v>1900</v>
      </c>
    </row>
    <row r="11" spans="1:8" ht="13.8" x14ac:dyDescent="0.25">
      <c r="A11" s="4">
        <v>45712</v>
      </c>
      <c r="B11" t="s">
        <v>22</v>
      </c>
      <c r="C11" t="s">
        <v>20</v>
      </c>
      <c r="D11" t="s">
        <v>24</v>
      </c>
      <c r="E11">
        <v>2400</v>
      </c>
    </row>
    <row r="12" spans="1:8" ht="13.8" x14ac:dyDescent="0.25">
      <c r="A12" s="4">
        <v>45721</v>
      </c>
      <c r="B12" t="s">
        <v>25</v>
      </c>
      <c r="C12" t="s">
        <v>11</v>
      </c>
      <c r="D12" t="s">
        <v>12</v>
      </c>
      <c r="E12">
        <v>12000</v>
      </c>
      <c r="H12" s="2" t="s">
        <v>23</v>
      </c>
    </row>
    <row r="13" spans="1:8" ht="13.8" x14ac:dyDescent="0.25">
      <c r="A13" s="4">
        <v>45724</v>
      </c>
      <c r="B13" t="s">
        <v>25</v>
      </c>
      <c r="C13" t="s">
        <v>13</v>
      </c>
      <c r="D13" t="s">
        <v>14</v>
      </c>
      <c r="E13">
        <v>3900</v>
      </c>
      <c r="H13" s="6">
        <f>SUMIF(C:C,"food",E:E)</f>
        <v>55800</v>
      </c>
    </row>
    <row r="14" spans="1:8" ht="13.8" x14ac:dyDescent="0.25">
      <c r="A14" s="4">
        <v>45730</v>
      </c>
      <c r="B14" t="s">
        <v>25</v>
      </c>
      <c r="C14" t="s">
        <v>15</v>
      </c>
      <c r="D14" t="s">
        <v>27</v>
      </c>
      <c r="E14">
        <v>2600</v>
      </c>
    </row>
    <row r="15" spans="1:8" ht="13.8" x14ac:dyDescent="0.25">
      <c r="A15" s="4">
        <v>45736</v>
      </c>
      <c r="B15" t="s">
        <v>25</v>
      </c>
      <c r="C15" t="s">
        <v>18</v>
      </c>
      <c r="D15" t="s">
        <v>28</v>
      </c>
      <c r="E15">
        <v>1500</v>
      </c>
    </row>
    <row r="16" spans="1:8" ht="13.8" x14ac:dyDescent="0.25">
      <c r="A16" s="4">
        <v>45742</v>
      </c>
      <c r="B16" t="s">
        <v>25</v>
      </c>
      <c r="C16" t="s">
        <v>20</v>
      </c>
      <c r="D16" t="s">
        <v>21</v>
      </c>
      <c r="E16">
        <v>2300</v>
      </c>
      <c r="H16" s="2" t="s">
        <v>26</v>
      </c>
    </row>
    <row r="17" spans="1:8" ht="13.8" x14ac:dyDescent="0.25">
      <c r="A17" s="4">
        <v>45752</v>
      </c>
      <c r="B17" t="s">
        <v>29</v>
      </c>
      <c r="C17" t="s">
        <v>11</v>
      </c>
      <c r="D17" t="s">
        <v>12</v>
      </c>
      <c r="E17">
        <v>12000</v>
      </c>
      <c r="H17" s="6">
        <f>AVERAGE(E5:E64)</f>
        <v>4842.105263157895</v>
      </c>
    </row>
    <row r="18" spans="1:8" ht="13.8" x14ac:dyDescent="0.25">
      <c r="A18" s="4">
        <v>45756</v>
      </c>
      <c r="B18" t="s">
        <v>29</v>
      </c>
      <c r="C18" t="s">
        <v>13</v>
      </c>
      <c r="D18" t="s">
        <v>14</v>
      </c>
      <c r="E18">
        <v>4500</v>
      </c>
    </row>
    <row r="19" spans="1:8" ht="13.8" x14ac:dyDescent="0.25">
      <c r="A19" s="4">
        <v>45760</v>
      </c>
      <c r="B19" t="s">
        <v>29</v>
      </c>
      <c r="C19" t="s">
        <v>15</v>
      </c>
      <c r="D19" t="s">
        <v>31</v>
      </c>
      <c r="E19">
        <v>3000</v>
      </c>
    </row>
    <row r="20" spans="1:8" ht="13.8" x14ac:dyDescent="0.25">
      <c r="A20" s="4">
        <v>45766</v>
      </c>
      <c r="B20" t="s">
        <v>29</v>
      </c>
      <c r="C20" t="s">
        <v>18</v>
      </c>
      <c r="D20" t="s">
        <v>19</v>
      </c>
      <c r="E20">
        <v>2200</v>
      </c>
      <c r="H20" s="7" t="s">
        <v>30</v>
      </c>
    </row>
    <row r="21" spans="1:8" ht="13.8" x14ac:dyDescent="0.25">
      <c r="A21" s="4">
        <v>45772</v>
      </c>
      <c r="B21" t="s">
        <v>29</v>
      </c>
      <c r="C21" t="s">
        <v>20</v>
      </c>
      <c r="D21" t="s">
        <v>21</v>
      </c>
      <c r="E21">
        <v>2500</v>
      </c>
      <c r="H21" s="6">
        <f>SUMIF(B:B,"January",E:E)</f>
        <v>23900</v>
      </c>
    </row>
    <row r="22" spans="1:8" ht="13.8" x14ac:dyDescent="0.25">
      <c r="A22" s="4">
        <v>45782</v>
      </c>
      <c r="B22" t="s">
        <v>33</v>
      </c>
      <c r="C22" t="s">
        <v>11</v>
      </c>
      <c r="D22" t="s">
        <v>12</v>
      </c>
      <c r="E22">
        <v>12000</v>
      </c>
    </row>
    <row r="23" spans="1:8" ht="13.8" x14ac:dyDescent="0.25">
      <c r="A23" s="4">
        <v>45785</v>
      </c>
      <c r="B23" t="s">
        <v>33</v>
      </c>
      <c r="C23" t="s">
        <v>13</v>
      </c>
      <c r="D23" t="s">
        <v>14</v>
      </c>
      <c r="E23">
        <v>4800</v>
      </c>
    </row>
    <row r="24" spans="1:8" ht="13.8" x14ac:dyDescent="0.25">
      <c r="A24" s="4">
        <v>45791</v>
      </c>
      <c r="B24" t="s">
        <v>33</v>
      </c>
      <c r="C24" t="s">
        <v>15</v>
      </c>
      <c r="D24" t="s">
        <v>31</v>
      </c>
      <c r="E24">
        <v>2900</v>
      </c>
      <c r="H24" s="7" t="s">
        <v>32</v>
      </c>
    </row>
    <row r="25" spans="1:8" ht="13.8" x14ac:dyDescent="0.25">
      <c r="A25" s="4">
        <v>45797</v>
      </c>
      <c r="B25" t="s">
        <v>33</v>
      </c>
      <c r="C25" t="s">
        <v>18</v>
      </c>
      <c r="D25" t="s">
        <v>34</v>
      </c>
      <c r="E25">
        <v>2100</v>
      </c>
      <c r="H25" s="6">
        <f>SUMIFS(E:E,B:B,"January",C:C,"Food")</f>
        <v>4200</v>
      </c>
    </row>
    <row r="26" spans="1:8" ht="13.8" x14ac:dyDescent="0.25">
      <c r="A26" s="4">
        <v>45803</v>
      </c>
      <c r="B26" t="s">
        <v>33</v>
      </c>
      <c r="C26" t="s">
        <v>20</v>
      </c>
      <c r="D26" t="s">
        <v>21</v>
      </c>
      <c r="E26">
        <v>2600</v>
      </c>
    </row>
    <row r="27" spans="1:8" ht="13.8" x14ac:dyDescent="0.25">
      <c r="A27" s="4">
        <v>45813</v>
      </c>
      <c r="B27" t="s">
        <v>35</v>
      </c>
      <c r="C27" t="s">
        <v>11</v>
      </c>
      <c r="D27" t="s">
        <v>12</v>
      </c>
      <c r="E27">
        <v>12000</v>
      </c>
    </row>
    <row r="28" spans="1:8" ht="13.8" x14ac:dyDescent="0.25">
      <c r="A28" s="4">
        <v>45817</v>
      </c>
      <c r="B28" t="s">
        <v>35</v>
      </c>
      <c r="C28" t="s">
        <v>13</v>
      </c>
      <c r="D28" t="s">
        <v>14</v>
      </c>
      <c r="E28">
        <v>5200</v>
      </c>
    </row>
    <row r="29" spans="1:8" ht="13.8" x14ac:dyDescent="0.25">
      <c r="A29" s="4">
        <v>45821</v>
      </c>
      <c r="B29" t="s">
        <v>35</v>
      </c>
      <c r="C29" t="s">
        <v>15</v>
      </c>
      <c r="D29" t="s">
        <v>31</v>
      </c>
      <c r="E29">
        <v>3300</v>
      </c>
    </row>
    <row r="30" spans="1:8" ht="13.8" x14ac:dyDescent="0.25">
      <c r="A30" s="4">
        <v>45826</v>
      </c>
      <c r="B30" t="s">
        <v>35</v>
      </c>
      <c r="C30" t="s">
        <v>18</v>
      </c>
      <c r="D30" t="s">
        <v>37</v>
      </c>
      <c r="E30">
        <v>2800</v>
      </c>
      <c r="H30" s="7" t="s">
        <v>36</v>
      </c>
    </row>
    <row r="31" spans="1:8" ht="13.8" x14ac:dyDescent="0.25">
      <c r="A31" s="4">
        <v>45833</v>
      </c>
      <c r="B31" t="s">
        <v>35</v>
      </c>
      <c r="C31" t="s">
        <v>20</v>
      </c>
      <c r="D31" t="s">
        <v>21</v>
      </c>
      <c r="E31">
        <v>2700</v>
      </c>
      <c r="H31" s="6">
        <f>AVERAGEIF(B:B,"January",E:E)</f>
        <v>4780</v>
      </c>
    </row>
    <row r="32" spans="1:8" ht="13.8" x14ac:dyDescent="0.25">
      <c r="A32" s="4">
        <v>45843</v>
      </c>
      <c r="B32" t="s">
        <v>38</v>
      </c>
      <c r="C32" t="s">
        <v>11</v>
      </c>
      <c r="D32" t="s">
        <v>12</v>
      </c>
      <c r="E32">
        <v>12000</v>
      </c>
    </row>
    <row r="33" spans="1:5" ht="13.8" x14ac:dyDescent="0.25">
      <c r="A33" s="4">
        <v>45846</v>
      </c>
      <c r="B33" t="s">
        <v>38</v>
      </c>
      <c r="C33" t="s">
        <v>13</v>
      </c>
      <c r="D33" t="s">
        <v>14</v>
      </c>
      <c r="E33">
        <v>4100</v>
      </c>
    </row>
    <row r="34" spans="1:5" ht="13.8" x14ac:dyDescent="0.25">
      <c r="A34" s="4">
        <v>45850</v>
      </c>
      <c r="B34" t="s">
        <v>38</v>
      </c>
      <c r="C34" t="s">
        <v>15</v>
      </c>
      <c r="D34" t="s">
        <v>27</v>
      </c>
      <c r="E34">
        <v>2600</v>
      </c>
    </row>
    <row r="35" spans="1:5" ht="13.8" x14ac:dyDescent="0.25">
      <c r="A35" s="4">
        <v>45857</v>
      </c>
      <c r="B35" t="s">
        <v>38</v>
      </c>
      <c r="C35" t="s">
        <v>18</v>
      </c>
      <c r="D35" t="s">
        <v>19</v>
      </c>
      <c r="E35">
        <v>1800</v>
      </c>
    </row>
    <row r="36" spans="1:5" ht="13.8" x14ac:dyDescent="0.25">
      <c r="A36" s="4">
        <v>45864</v>
      </c>
      <c r="B36" t="s">
        <v>38</v>
      </c>
      <c r="C36" t="s">
        <v>20</v>
      </c>
      <c r="D36" t="s">
        <v>21</v>
      </c>
      <c r="E36">
        <v>2400</v>
      </c>
    </row>
    <row r="37" spans="1:5" ht="13.8" x14ac:dyDescent="0.25">
      <c r="A37" s="4">
        <v>45874</v>
      </c>
      <c r="B37" t="s">
        <v>39</v>
      </c>
      <c r="C37" t="s">
        <v>11</v>
      </c>
      <c r="D37" t="s">
        <v>12</v>
      </c>
      <c r="E37">
        <v>12000</v>
      </c>
    </row>
    <row r="38" spans="1:5" ht="13.8" x14ac:dyDescent="0.25">
      <c r="A38" s="4">
        <v>45878</v>
      </c>
      <c r="B38" t="s">
        <v>39</v>
      </c>
      <c r="C38" t="s">
        <v>13</v>
      </c>
      <c r="D38" t="s">
        <v>14</v>
      </c>
      <c r="E38">
        <v>4700</v>
      </c>
    </row>
    <row r="39" spans="1:5" ht="13.8" x14ac:dyDescent="0.25">
      <c r="A39" s="4">
        <v>45883</v>
      </c>
      <c r="B39" t="s">
        <v>39</v>
      </c>
      <c r="C39" t="s">
        <v>15</v>
      </c>
      <c r="D39" t="s">
        <v>31</v>
      </c>
      <c r="E39">
        <v>3100</v>
      </c>
    </row>
    <row r="40" spans="1:5" ht="13.8" x14ac:dyDescent="0.25">
      <c r="A40" s="4">
        <v>45889</v>
      </c>
      <c r="B40" t="s">
        <v>39</v>
      </c>
      <c r="C40" t="s">
        <v>18</v>
      </c>
      <c r="D40" t="s">
        <v>34</v>
      </c>
      <c r="E40">
        <v>2200</v>
      </c>
    </row>
    <row r="41" spans="1:5" ht="13.8" x14ac:dyDescent="0.25">
      <c r="A41" s="4">
        <v>45895</v>
      </c>
      <c r="B41" t="s">
        <v>39</v>
      </c>
      <c r="C41" t="s">
        <v>20</v>
      </c>
      <c r="D41" t="s">
        <v>21</v>
      </c>
      <c r="E41">
        <v>2500</v>
      </c>
    </row>
    <row r="42" spans="1:5" ht="13.8" x14ac:dyDescent="0.25">
      <c r="A42" s="4">
        <v>45905</v>
      </c>
      <c r="B42" t="s">
        <v>40</v>
      </c>
      <c r="C42" t="s">
        <v>11</v>
      </c>
      <c r="D42" t="s">
        <v>12</v>
      </c>
      <c r="E42">
        <v>12000</v>
      </c>
    </row>
    <row r="43" spans="1:5" ht="13.8" x14ac:dyDescent="0.25">
      <c r="A43" s="4">
        <v>45908</v>
      </c>
      <c r="B43" t="s">
        <v>40</v>
      </c>
      <c r="C43" t="s">
        <v>13</v>
      </c>
      <c r="D43" t="s">
        <v>14</v>
      </c>
      <c r="E43">
        <v>4300</v>
      </c>
    </row>
    <row r="44" spans="1:5" ht="13.8" x14ac:dyDescent="0.25">
      <c r="A44" s="4">
        <v>45913</v>
      </c>
      <c r="B44" t="s">
        <v>40</v>
      </c>
      <c r="C44" t="s">
        <v>15</v>
      </c>
      <c r="D44" t="s">
        <v>27</v>
      </c>
      <c r="E44">
        <v>2700</v>
      </c>
    </row>
    <row r="45" spans="1:5" ht="13.8" x14ac:dyDescent="0.25">
      <c r="A45" s="4">
        <v>45918</v>
      </c>
      <c r="B45" t="s">
        <v>40</v>
      </c>
      <c r="C45" t="s">
        <v>18</v>
      </c>
      <c r="D45" t="s">
        <v>28</v>
      </c>
      <c r="E45">
        <v>2000</v>
      </c>
    </row>
    <row r="46" spans="1:5" ht="13.8" x14ac:dyDescent="0.25">
      <c r="A46" s="4">
        <v>45925</v>
      </c>
      <c r="B46" t="s">
        <v>40</v>
      </c>
      <c r="C46" t="s">
        <v>20</v>
      </c>
      <c r="D46" t="s">
        <v>21</v>
      </c>
      <c r="E46">
        <v>2400</v>
      </c>
    </row>
    <row r="47" spans="1:5" ht="13.8" x14ac:dyDescent="0.25">
      <c r="A47" s="4">
        <v>45935</v>
      </c>
      <c r="B47" t="s">
        <v>41</v>
      </c>
      <c r="C47" t="s">
        <v>11</v>
      </c>
      <c r="D47" t="s">
        <v>12</v>
      </c>
      <c r="E47">
        <v>12000</v>
      </c>
    </row>
    <row r="48" spans="1:5" ht="13.8" x14ac:dyDescent="0.25">
      <c r="A48" s="4">
        <v>45939</v>
      </c>
      <c r="B48" t="s">
        <v>41</v>
      </c>
      <c r="C48" t="s">
        <v>13</v>
      </c>
      <c r="D48" t="s">
        <v>14</v>
      </c>
      <c r="E48">
        <v>5000</v>
      </c>
    </row>
    <row r="49" spans="1:5" ht="13.8" x14ac:dyDescent="0.25">
      <c r="A49" s="4">
        <v>45944</v>
      </c>
      <c r="B49" t="s">
        <v>41</v>
      </c>
      <c r="C49" t="s">
        <v>15</v>
      </c>
      <c r="D49" t="s">
        <v>31</v>
      </c>
      <c r="E49">
        <v>3200</v>
      </c>
    </row>
    <row r="50" spans="1:5" ht="13.8" x14ac:dyDescent="0.25">
      <c r="A50" s="4">
        <v>45950</v>
      </c>
      <c r="B50" t="s">
        <v>41</v>
      </c>
      <c r="C50" t="s">
        <v>18</v>
      </c>
      <c r="D50" t="s">
        <v>42</v>
      </c>
      <c r="E50">
        <v>3500</v>
      </c>
    </row>
    <row r="51" spans="1:5" ht="13.8" x14ac:dyDescent="0.25">
      <c r="A51" s="4">
        <v>45956</v>
      </c>
      <c r="B51" t="s">
        <v>41</v>
      </c>
      <c r="C51" t="s">
        <v>20</v>
      </c>
      <c r="D51" t="s">
        <v>21</v>
      </c>
      <c r="E51">
        <v>2800</v>
      </c>
    </row>
    <row r="52" spans="1:5" ht="13.8" x14ac:dyDescent="0.25">
      <c r="A52" s="4">
        <v>45966</v>
      </c>
      <c r="B52" t="s">
        <v>43</v>
      </c>
      <c r="C52" t="s">
        <v>11</v>
      </c>
      <c r="D52" t="s">
        <v>12</v>
      </c>
      <c r="E52">
        <v>12000</v>
      </c>
    </row>
    <row r="53" spans="1:5" ht="13.8" x14ac:dyDescent="0.25">
      <c r="A53" s="4">
        <v>45969</v>
      </c>
      <c r="B53" t="s">
        <v>43</v>
      </c>
      <c r="C53" t="s">
        <v>13</v>
      </c>
      <c r="D53" t="s">
        <v>14</v>
      </c>
      <c r="E53">
        <v>4600</v>
      </c>
    </row>
    <row r="54" spans="1:5" ht="13.8" x14ac:dyDescent="0.25">
      <c r="A54" s="4">
        <v>45974</v>
      </c>
      <c r="B54" t="s">
        <v>43</v>
      </c>
      <c r="C54" t="s">
        <v>15</v>
      </c>
      <c r="D54" t="s">
        <v>31</v>
      </c>
      <c r="E54">
        <v>3000</v>
      </c>
    </row>
    <row r="55" spans="1:5" ht="13.8" x14ac:dyDescent="0.25">
      <c r="A55" s="4">
        <v>45980</v>
      </c>
      <c r="B55" t="s">
        <v>43</v>
      </c>
      <c r="C55" t="s">
        <v>18</v>
      </c>
      <c r="D55" t="s">
        <v>19</v>
      </c>
      <c r="E55">
        <v>2100</v>
      </c>
    </row>
    <row r="56" spans="1:5" ht="13.8" x14ac:dyDescent="0.25">
      <c r="A56" s="4">
        <v>45986</v>
      </c>
      <c r="B56" t="s">
        <v>43</v>
      </c>
      <c r="C56" t="s">
        <v>20</v>
      </c>
      <c r="D56" t="s">
        <v>21</v>
      </c>
      <c r="E56">
        <v>2600</v>
      </c>
    </row>
    <row r="57" spans="1:5" ht="13.8" x14ac:dyDescent="0.25">
      <c r="A57" s="4">
        <v>45996</v>
      </c>
      <c r="B57" t="s">
        <v>44</v>
      </c>
      <c r="C57" t="s">
        <v>11</v>
      </c>
      <c r="D57" t="s">
        <v>12</v>
      </c>
      <c r="E57">
        <v>12000</v>
      </c>
    </row>
    <row r="58" spans="1:5" ht="13.8" x14ac:dyDescent="0.25">
      <c r="A58" s="4">
        <v>46000</v>
      </c>
      <c r="B58" t="s">
        <v>44</v>
      </c>
      <c r="C58" t="s">
        <v>13</v>
      </c>
      <c r="D58" t="s">
        <v>14</v>
      </c>
      <c r="E58">
        <v>5400</v>
      </c>
    </row>
    <row r="59" spans="1:5" ht="13.8" x14ac:dyDescent="0.25">
      <c r="A59" s="4">
        <v>46005</v>
      </c>
      <c r="B59" t="s">
        <v>44</v>
      </c>
      <c r="C59" t="s">
        <v>15</v>
      </c>
      <c r="D59" t="s">
        <v>45</v>
      </c>
      <c r="E59">
        <v>3600</v>
      </c>
    </row>
    <row r="60" spans="1:5" ht="13.8" x14ac:dyDescent="0.25">
      <c r="A60" s="4">
        <v>46011</v>
      </c>
      <c r="B60" t="s">
        <v>44</v>
      </c>
      <c r="C60" t="s">
        <v>18</v>
      </c>
      <c r="D60" t="s">
        <v>46</v>
      </c>
      <c r="E60">
        <v>4000</v>
      </c>
    </row>
    <row r="61" spans="1:5" ht="13.8" x14ac:dyDescent="0.25">
      <c r="A61" s="4">
        <v>46017</v>
      </c>
      <c r="B61" t="s">
        <v>44</v>
      </c>
      <c r="C61" t="s">
        <v>20</v>
      </c>
      <c r="D61" t="s">
        <v>21</v>
      </c>
      <c r="E61">
        <v>3000</v>
      </c>
    </row>
    <row r="62" spans="1:5" ht="13.8" x14ac:dyDescent="0.25">
      <c r="A62"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Sheet1</vt:lpstr>
      <vt:lpstr>Sheet5</vt:lpstr>
      <vt:lpstr>Sheet6</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RAGHU KOMARABATTINA</cp:lastModifiedBy>
  <cp:lastPrinted>2026-01-20T05:54:17Z</cp:lastPrinted>
  <dcterms:created xsi:type="dcterms:W3CDTF">2026-01-20T04:18:20Z</dcterms:created>
  <dcterms:modified xsi:type="dcterms:W3CDTF">2026-01-22T04:19:55Z</dcterms:modified>
</cp:coreProperties>
</file>